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ainq\Documents\BIT 3424\"/>
    </mc:Choice>
  </mc:AlternateContent>
  <xr:revisionPtr revIDLastSave="0" documentId="13_ncr:1_{5B0E37BB-93E9-4DDA-885F-2DD84360EF7F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Documentation" sheetId="5" r:id="rId1"/>
    <sheet name="P5" sheetId="1" r:id="rId2"/>
    <sheet name="P6" sheetId="2" r:id="rId3"/>
    <sheet name="P7" sheetId="3" r:id="rId4"/>
    <sheet name="P8" sheetId="4" r:id="rId5"/>
  </sheets>
  <definedNames>
    <definedName name="_xlnm._FilterDatabase" localSheetId="2" hidden="1">'P6'!$A$24:$C$37</definedName>
    <definedName name="AStart">'P8'!$F$18</definedName>
    <definedName name="Client">'P5'!$B$17</definedName>
    <definedName name="ClientVals">'P5'!$A$17:$D$37</definedName>
    <definedName name="Cost">'P5'!$D$17</definedName>
    <definedName name="DTable">'P6'!$A$40:$B$46</definedName>
    <definedName name="Employ">'P5'!$A$17</definedName>
    <definedName name="EmployReport">'P5'!$F$28:$G$29</definedName>
    <definedName name="Employs">'P5'!$A$18:$A$37</definedName>
    <definedName name="EmployVals">'P5'!$A$17:$D$37</definedName>
    <definedName name="EStart">'P8'!$A$18</definedName>
    <definedName name="FStart">'P7'!$F$19</definedName>
    <definedName name="Night">'P5'!$C$17</definedName>
    <definedName name="Nights">'P5'!$C$18:$C$37</definedName>
    <definedName name="PasteHere">'P6'!$A$60</definedName>
    <definedName name="Report">'P5'!$F$23:$G$25</definedName>
    <definedName name="RStart">'P6'!$A$24</definedName>
    <definedName name="RTStart">'P7'!$A$19</definedName>
    <definedName name="RVals">'P5'!$A$18:$D$37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<sst xmlns="http://schemas.openxmlformats.org/spreadsheetml/2006/main" count="219" uniqueCount="112">
  <si>
    <t>Practice 5</t>
  </si>
  <si>
    <t>Practice 6</t>
  </si>
  <si>
    <t>Practice 7</t>
  </si>
  <si>
    <t>Practice 8</t>
  </si>
  <si>
    <t>User should be able to sort, format, and calculate report.</t>
  </si>
  <si>
    <t>Min</t>
  </si>
  <si>
    <t>Max</t>
  </si>
  <si>
    <t>Employee</t>
  </si>
  <si>
    <t>C. Denvers</t>
  </si>
  <si>
    <t>D. Edwards</t>
  </si>
  <si>
    <t>E. Fernandez</t>
  </si>
  <si>
    <t>F. Garcia</t>
  </si>
  <si>
    <t>G. Hoi</t>
  </si>
  <si>
    <t>P. Qui</t>
  </si>
  <si>
    <t>S. Tiago</t>
  </si>
  <si>
    <t>A. Bilakbar</t>
  </si>
  <si>
    <t>Client Location</t>
  </si>
  <si>
    <t>Number of Nights</t>
  </si>
  <si>
    <t>Total Cost</t>
  </si>
  <si>
    <t>Atlanta</t>
  </si>
  <si>
    <t>Charlotte</t>
  </si>
  <si>
    <t>Richmond</t>
  </si>
  <si>
    <t>DC</t>
  </si>
  <si>
    <t>Arlington</t>
  </si>
  <si>
    <t>Baltimore</t>
  </si>
  <si>
    <t>Highlight Number Nights</t>
  </si>
  <si>
    <t>Nights</t>
  </si>
  <si>
    <t>Create a dynamic interface to evaluate employee travel costs.</t>
  </si>
  <si>
    <t>4 questions</t>
  </si>
  <si>
    <t>#1: Make two buttons to sort the table by Employee Name or by Client Location.</t>
  </si>
  <si>
    <t>#2: Make two buttons to highlight table rows with Number of Night values Smaller or Larger than a given value.</t>
  </si>
  <si>
    <t>#3: Make a button to calculate a report of the Min and Max Costs in the table.</t>
  </si>
  <si>
    <t>In Excel, name the first cell of the employee table. In VBA, dynamically name the entire table (with labels). Sort in ABC order.</t>
  </si>
  <si>
    <t>Dynamically name the table (no labels). Clear previous formatting rules. Select the table and add new formatting rule.</t>
  </si>
  <si>
    <t>In Excel, name the given number of nights value cell. Highlight rows with smaller costs green and larger costs yellow.</t>
  </si>
  <si>
    <t>Dynamically name the table (no labels). In Excel, name the Costs Report column cells. Use Application.WorksheetFunction to calculate min/max table costs.</t>
  </si>
  <si>
    <t>Total Nights</t>
  </si>
  <si>
    <t>#4: Make a button to calculate the total nights and total costs for a given Employee.</t>
  </si>
  <si>
    <t>Dynamically name the table (no labels). In Excel, name the given Employee name cell as well as the Total Nights and Total Cost report row cells.</t>
  </si>
  <si>
    <t>Use Application.WorksheetFunction to calculate sum of nights and sum of costs for given employee.</t>
  </si>
  <si>
    <t>Travel Cost</t>
  </si>
  <si>
    <t>Upcoming Travel</t>
  </si>
  <si>
    <t>U. Vance</t>
  </si>
  <si>
    <t>V. Wilson</t>
  </si>
  <si>
    <t>W. Xie</t>
  </si>
  <si>
    <t>X. Yen</t>
  </si>
  <si>
    <t>Y. Zeniya</t>
  </si>
  <si>
    <t>Create a dynamic interface to evaluate upcoming employee travel based on client location and number of nights. Travel costs to client locations are given.</t>
  </si>
  <si>
    <t>This application should be able to filter for given location to find which employee will be there maximum number of nights.</t>
  </si>
  <si>
    <t>The application should also be able to calculate total costs for a given employee based on travel costs and number of nights.</t>
  </si>
  <si>
    <t>2 Questions</t>
  </si>
  <si>
    <t>#1: Create a button that filters table by client location and finds name of employee who will stay the maximum number of nights.</t>
  </si>
  <si>
    <t>Ask user for a city name. In Excel, name first cell of employee table, then in VBA use a range variable to record current employee table (with labels).</t>
  </si>
  <si>
    <t>Filter the table for the given city name. Copy/paste the filtered table and record the pasted table in a range variable.</t>
  </si>
  <si>
    <t>Calcualte the maximum number of nights from the filtered table. Find the name of the employee who will stay the maximum number of nights.</t>
  </si>
  <si>
    <t>Hint: Use Application.WorksheetFunction.Match and  Range().Cells. Delete the pasted range and select the first cell of the employee table.</t>
  </si>
  <si>
    <t>Display a message: "Employee name will be in City Name the max number of nights: max number" with title "Max Nights in City Name".</t>
  </si>
  <si>
    <t>Remove filter from employee table.</t>
  </si>
  <si>
    <t>#2: Create a button that calculates the total travel cost for a given employee.</t>
  </si>
  <si>
    <t>Ask the user for an employee name. Use a range variable to record current employee table (with labels).</t>
  </si>
  <si>
    <t>Look up the client location and number of nights for the given employee name. Then look up the travel cost for the client location in the travel cost table.</t>
  </si>
  <si>
    <t>Hint: You can name this table in Excel. Calculate the total travel cost based on the location cost and number of nights (assume $100/night hotel cost).</t>
  </si>
  <si>
    <t>Given Travel Costs (round-trip)</t>
  </si>
  <si>
    <t>Calculate the return date based on today's date and the number of nights. Highlight the current row of the table for the given employee.</t>
  </si>
  <si>
    <t>Hint: Ucase() function for upper case; Format(x, "Currency") for total cost; InStr(text to look in, text to find) to find first initial of last name.</t>
  </si>
  <si>
    <t>Display a message: "Trip Name: " first initial of first and last name "-" first three letters of location in upper case. Next line total cost. Next line return date.</t>
  </si>
  <si>
    <t>Scheduled Travel</t>
  </si>
  <si>
    <t>J. Jones</t>
  </si>
  <si>
    <t>Create a dynamic interface to allow users to either search current scheduled travel or add new trips.</t>
  </si>
  <si>
    <t>Application should be able to look up information or add new information. Should include error checking.</t>
  </si>
  <si>
    <t>1 Question</t>
  </si>
  <si>
    <t>#1: Allow user to either lookup trip information by employee name or add new trip information to table.</t>
  </si>
  <si>
    <t>Ask user for menu option: 1 to lookup, 2 to add new. Make sure menu option is valid.</t>
  </si>
  <si>
    <t>In Excel, name starting cell for travel table and name entire location/cost table. In VBA, record range of entire</t>
  </si>
  <si>
    <t xml:space="preserve">scheduled travel table (with labels). Ask user for employee name. </t>
  </si>
  <si>
    <t>If user wants to lookup info: check if employee name is in first column of travel table. If not, give error message.</t>
  </si>
  <si>
    <t>Otherwise, lookup location, nights, and cost info and give user report message.</t>
  </si>
  <si>
    <t>If user wants to add new trip: check if employee name is already in first column of travel table.</t>
  </si>
  <si>
    <t>Hint: check If Not Range().Find() Is Nothing. If already scheduled, give error message.</t>
  </si>
  <si>
    <t>Otherwise, ask for new location and check that it is in first column of location/cost table.</t>
  </si>
  <si>
    <t>Ask for number of nights and make sure positive number. Calculate total cost = travel cost + nights * $100/night.</t>
  </si>
  <si>
    <t>Output new trip information to new row in table. Hint: Use With start range .End(xlDown) and Offset to new row.</t>
  </si>
  <si>
    <t>M. Jane</t>
  </si>
  <si>
    <t>Create dynamic interface to allow user to modify number of nights in scheduled trip.</t>
  </si>
  <si>
    <t>User can lookup trip info and update nights which should also update cost.</t>
  </si>
  <si>
    <t>#1: Allow user to update number of nights for scheduled trip (assume only one trip scheduled per employee).</t>
  </si>
  <si>
    <t>In Excel, name starting cell of travel table and entire location/cost table. In VBA, record range for entire travel table.</t>
  </si>
  <si>
    <t>Ask user for employee name. Make sure name is in first column of travel table. Highlight table row for given name.</t>
  </si>
  <si>
    <t>Lookup current number of nights from table for given name. Tell user current value and ask for new number of nights.</t>
  </si>
  <si>
    <t>Make sure number is positive value, otherwise ask them to input again.</t>
  </si>
  <si>
    <t>Make sure nights is a numeric value, otherwise use error handling to return to input prompt.</t>
  </si>
  <si>
    <t>Lookup current location from travel table and note travel cost from location table.</t>
  </si>
  <si>
    <t>Calculate new travel cost with location cost and updated number of nights (for $100/night).</t>
  </si>
  <si>
    <t>Modify the employee row with new number of nights and updated cost. Format new values to be bold and larger font.</t>
  </si>
  <si>
    <t>Give user confirmation message. Make sure to clear previous formats at beginning of procedure.</t>
  </si>
  <si>
    <t>BIT 3424</t>
  </si>
  <si>
    <t>Dr. Şeref</t>
  </si>
  <si>
    <t>Student Name:</t>
  </si>
  <si>
    <t>Unique File ID:</t>
  </si>
  <si>
    <t>First Open:</t>
  </si>
  <si>
    <t>Honor Policy:</t>
  </si>
  <si>
    <t>I swear to uphold the Virginia Tech Honor Policy (as specified in the course syllabus).</t>
  </si>
  <si>
    <t>I will not copy another student's file.</t>
  </si>
  <si>
    <t>I will not share my file with another student.</t>
  </si>
  <si>
    <t>Student Initial:</t>
  </si>
  <si>
    <t>Zain Qadri</t>
  </si>
  <si>
    <t>done</t>
  </si>
  <si>
    <t>ZQ</t>
  </si>
  <si>
    <t>Cost Report</t>
  </si>
  <si>
    <t>Z. Qadri</t>
  </si>
  <si>
    <t>M. Seref</t>
  </si>
  <si>
    <t>F. Garcias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</si>
</sst>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theme="3"/>
      <name val="Arial"/>
      <family val="2"/>
    </font>
    <font>
      <i/>
      <sz val="12"/>
      <name val="Arial"/>
      <family val="2"/>
    </font>
    <font>
      <b/>
      <i/>
      <sz val="12"/>
      <color theme="5" tint="0.39997558519241921"/>
      <name val="Arial"/>
      <family val="2"/>
    </font>
    <font>
      <sz val="12"/>
      <color theme="5" tint="0.39997558519241921"/>
      <name val="Arial"/>
      <family val="2"/>
    </font>
    <font>
      <i/>
      <sz val="12"/>
      <color theme="5" tint="0.39997558519241921"/>
      <name val="Arial"/>
      <family val="2"/>
    </font>
    <font>
      <sz val="12"/>
      <color theme="0" tint="-0.34998626667073579"/>
      <name val="Arial"/>
      <family val="2"/>
    </font>
    <font>
      <b/>
      <i/>
      <sz val="1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6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5" fillId="0" borderId="0"/>
  </cellStyleXfs>
  <cellXfs count="69">
    <xf numFmtId="0" fontId="0" fillId="0" borderId="0" xfId="0"/>
    <xf numFmtId="0" fontId="2" fillId="2" borderId="1" xfId="0" applyFont="1" applyFill="1" applyBorder="1"/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1" fillId="3" borderId="0" xfId="0" applyFont="1" applyFill="1"/>
    <xf numFmtId="0" fontId="0" fillId="3" borderId="0" xfId="0" applyFill="1"/>
    <xf numFmtId="0" fontId="3" fillId="3" borderId="2" xfId="0" applyFont="1" applyFill="1" applyBorder="1"/>
    <xf numFmtId="0" fontId="0" fillId="3" borderId="2" xfId="0" applyFill="1" applyBorder="1"/>
    <xf numFmtId="0" fontId="0" fillId="2" borderId="1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0" borderId="0" xfId="0" applyAlignment="1">
      <alignment horizontal="left"/>
    </xf>
    <xf numFmtId="0" fontId="1" fillId="3" borderId="3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3" fillId="6" borderId="2" xfId="0" applyFont="1" applyFill="1" applyBorder="1"/>
    <xf numFmtId="0" fontId="0" fillId="6" borderId="2" xfId="0" applyFill="1" applyBorder="1"/>
    <xf numFmtId="0" fontId="0" fillId="6" borderId="2" xfId="0" applyFill="1" applyBorder="1" applyAlignment="1">
      <alignment horizontal="left"/>
    </xf>
    <xf numFmtId="0" fontId="0" fillId="5" borderId="0" xfId="0" applyFill="1"/>
    <xf numFmtId="0" fontId="3" fillId="5" borderId="0" xfId="0" applyFont="1" applyFill="1"/>
    <xf numFmtId="0" fontId="1" fillId="0" borderId="0" xfId="0" applyFont="1" applyAlignment="1">
      <alignment horizontal="left"/>
    </xf>
    <xf numFmtId="0" fontId="0" fillId="5" borderId="0" xfId="0" applyFill="1" applyAlignment="1">
      <alignment horizontal="left"/>
    </xf>
    <xf numFmtId="0" fontId="4" fillId="5" borderId="0" xfId="0" applyFont="1" applyFill="1"/>
    <xf numFmtId="0" fontId="1" fillId="3" borderId="4" xfId="0" applyFont="1" applyFill="1" applyBorder="1"/>
    <xf numFmtId="0" fontId="1" fillId="3" borderId="5" xfId="0" applyFont="1" applyFill="1" applyBorder="1"/>
    <xf numFmtId="0" fontId="1" fillId="0" borderId="0" xfId="0" applyFont="1"/>
    <xf numFmtId="2" fontId="4" fillId="4" borderId="3" xfId="0" applyNumberFormat="1" applyFont="1" applyFill="1" applyBorder="1" applyAlignment="1">
      <alignment horizontal="center"/>
    </xf>
    <xf numFmtId="164" fontId="0" fillId="5" borderId="3" xfId="0" applyNumberFormat="1" applyFill="1" applyBorder="1" applyAlignment="1">
      <alignment horizontal="center"/>
    </xf>
    <xf numFmtId="1" fontId="4" fillId="7" borderId="3" xfId="0" applyNumberFormat="1" applyFont="1" applyFill="1" applyBorder="1" applyAlignment="1">
      <alignment horizontal="center"/>
    </xf>
    <xf numFmtId="0" fontId="1" fillId="3" borderId="3" xfId="0" applyFont="1" applyFill="1" applyBorder="1"/>
    <xf numFmtId="0" fontId="4" fillId="4" borderId="3" xfId="0" applyFont="1" applyFill="1" applyBorder="1" applyAlignment="1">
      <alignment horizontal="left"/>
    </xf>
    <xf numFmtId="164" fontId="0" fillId="7" borderId="3" xfId="0" applyNumberFormat="1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1" fontId="4" fillId="5" borderId="3" xfId="0" applyNumberFormat="1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2" fontId="4" fillId="4" borderId="3" xfId="0" applyNumberFormat="1" applyFont="1" applyFill="1" applyBorder="1" applyAlignment="1">
      <alignment horizontal="left"/>
    </xf>
    <xf numFmtId="0" fontId="6" fillId="8" borderId="0" xfId="1" applyFont="1" applyFill="1"/>
    <xf numFmtId="0" fontId="7" fillId="8" borderId="0" xfId="1" applyFont="1" applyFill="1"/>
    <xf numFmtId="0" fontId="8" fillId="8" borderId="0" xfId="1" applyFont="1" applyFill="1"/>
    <xf numFmtId="0" fontId="10" fillId="10" borderId="0" xfId="1" applyFont="1" applyFill="1" applyAlignment="1">
      <alignment horizontal="left"/>
    </xf>
    <xf numFmtId="0" fontId="11" fillId="8" borderId="0" xfId="1" applyFont="1" applyFill="1"/>
    <xf numFmtId="0" fontId="12" fillId="8" borderId="0" xfId="1" applyFont="1" applyFill="1"/>
    <xf numFmtId="0" fontId="13" fillId="8" borderId="0" xfId="1" applyFont="1" applyFill="1" applyAlignment="1">
      <alignment horizontal="left"/>
    </xf>
    <xf numFmtId="0" fontId="14" fillId="8" borderId="0" xfId="1" applyFont="1" applyFill="1"/>
    <xf numFmtId="0" fontId="10" fillId="8" borderId="0" xfId="1" applyFont="1" applyFill="1"/>
    <xf numFmtId="0" fontId="9" fillId="9" borderId="3" xfId="1" applyFont="1" applyFill="1" applyBorder="1" applyAlignment="1" applyProtection="1">
      <alignment horizontal="left"/>
      <protection locked="0"/>
    </xf>
    <xf numFmtId="164" fontId="0" fillId="0" borderId="0" xfId="0" applyNumberFormat="1"/>
    <xf numFmtId="1" fontId="0" fillId="0" borderId="0" xfId="0" applyNumberFormat="1"/>
    <xf numFmtId="0" fontId="9" fillId="9" borderId="4" xfId="1" applyFont="1" applyFill="1" applyBorder="1" applyAlignment="1" applyProtection="1">
      <alignment horizontal="left"/>
      <protection locked="0"/>
    </xf>
    <xf numFmtId="0" fontId="9" fillId="9" borderId="6" xfId="1" applyFont="1" applyFill="1" applyBorder="1" applyAlignment="1" applyProtection="1">
      <alignment horizontal="left"/>
      <protection locked="0"/>
    </xf>
    <xf numFmtId="0" fontId="9" fillId="9" borderId="5" xfId="1" applyFont="1" applyFill="1" applyBorder="1" applyAlignment="1" applyProtection="1">
      <alignment horizontal="left"/>
      <protection locked="0"/>
    </xf>
    <xf numFmtId="0" fontId="4" fillId="12" borderId="3" xfId="0" applyFont="1" applyFill="1" applyBorder="1" applyAlignment="1">
      <alignment horizontal="left"/>
    </xf>
    <xf numFmtId="2" fontId="4" fillId="12" borderId="3" xfId="0" applyNumberFormat="1" applyFont="1" applyFill="1" applyBorder="1" applyAlignment="1">
      <alignment horizontal="left"/>
    </xf>
    <xf numFmtId="1" fontId="4" fillId="11" borderId="3" xfId="0" applyNumberFormat="1" applyFont="1" applyFill="1" applyBorder="1" applyAlignment="1">
      <alignment horizontal="center"/>
    </xf>
    <xf numFmtId="164" fontId="0" fillId="11" borderId="3" xfId="0" applyNumberFormat="1" applyFont="1" applyFill="1" applyBorder="1" applyAlignment="1">
      <alignment horizontal="center"/>
    </xf>
    <xf numFmtId="0" fontId="4" fillId="13" borderId="3" xfId="0" applyFont="1" applyFill="1" applyBorder="1" applyAlignment="1">
      <alignment horizontal="left"/>
    </xf>
    <xf numFmtId="2" fontId="4" fillId="13" borderId="3" xfId="0" applyNumberFormat="1" applyFont="1" applyFill="1" applyBorder="1" applyAlignment="1">
      <alignment horizontal="left"/>
    </xf>
    <xf numFmtId="2" fontId="4" fillId="14" borderId="3" xfId="0" applyNumberFormat="1" applyFont="1" applyFill="1" applyBorder="1" applyAlignment="1">
      <alignment horizontal="left"/>
    </xf>
    <xf numFmtId="1" fontId="4" fillId="15" borderId="3" xfId="0" applyNumberFormat="1" applyFont="1" applyFill="1" applyBorder="1" applyAlignment="1">
      <alignment horizontal="center"/>
    </xf>
    <xf numFmtId="164" fontId="0" fillId="15" borderId="3" xfId="0" applyNumberForma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2" fontId="4" fillId="4" borderId="7" xfId="0" applyNumberFormat="1" applyFont="1" applyFill="1" applyBorder="1" applyAlignment="1">
      <alignment horizontal="center"/>
    </xf>
    <xf numFmtId="1" fontId="4" fillId="5" borderId="7" xfId="0" applyNumberFormat="1" applyFont="1" applyFill="1" applyBorder="1" applyAlignment="1">
      <alignment horizontal="center"/>
    </xf>
    <xf numFmtId="164" fontId="0" fillId="5" borderId="7" xfId="0" applyNumberForma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2" fontId="4" fillId="0" borderId="2" xfId="0" applyNumberFormat="1" applyFont="1" applyFill="1" applyBorder="1" applyAlignment="1">
      <alignment horizontal="center"/>
    </xf>
    <xf numFmtId="1" fontId="4" fillId="0" borderId="2" xfId="0" applyNumberFormat="1" applyFont="1" applyFill="1" applyBorder="1" applyAlignment="1">
      <alignment horizontal="center"/>
    </xf>
    <xf numFmtId="164" fontId="0" fillId="0" borderId="2" xfId="0" applyNumberFormat="1" applyFill="1" applyBorder="1" applyAlignment="1">
      <alignment horizontal="center"/>
    </xf>
    <xf numFmtId="1" fontId="4" fillId="16" borderId="3" xfId="0" applyNumberFormat="1" applyFont="1" applyFill="1" applyBorder="1" applyAlignment="1">
      <alignment horizontal="center"/>
    </xf>
    <xf numFmtId="1" fontId="15" fillId="12" borderId="3" xfId="0" applyNumberFormat="1" applyFont="1" applyFill="1" applyBorder="1" applyAlignment="1">
      <alignment horizontal="center"/>
    </xf>
    <xf numFmtId="164" fontId="2" fillId="12" borderId="3" xfId="0" applyNumberFormat="1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2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Light16"/>
  <colors>
    <mruColors>
      <color rgb="FFC0C0C0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196713</xdr:colOff>
      <xdr:row>16</xdr:row>
      <xdr:rowOff>39757</xdr:rowOff>
    </xdr:from>
    <xdr:to>
      <xdr:col>9</xdr:col>
      <xdr:colOff>571087</xdr:colOff>
      <xdr:row>17</xdr:row>
      <xdr:rowOff>168344</xdr:rowOff>
    </xdr:to>
    <xdr:sp macro="[0]!SortByClien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47039" y="2946953"/>
          <a:ext cx="1600200" cy="319087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Sort by Client</a:t>
          </a:r>
          <a:r>
            <a:rPr lang="en-US" sz="1100" b="1" baseline="0"/>
            <a:t> Location</a:t>
          </a:r>
          <a:endParaRPr lang="en-US" sz="1100" b="1"/>
        </a:p>
      </xdr:txBody>
    </xdr:sp>
    <xdr:clientData/>
  </xdr:twoCellAnchor>
  <xdr:twoCellAnchor>
    <xdr:from>
      <xdr:col>7</xdr:col>
      <xdr:colOff>196713</xdr:colOff>
      <xdr:row>19</xdr:row>
      <xdr:rowOff>42552</xdr:rowOff>
    </xdr:from>
    <xdr:to>
      <xdr:col>9</xdr:col>
      <xdr:colOff>251047</xdr:colOff>
      <xdr:row>21</xdr:row>
      <xdr:rowOff>27312</xdr:rowOff>
    </xdr:to>
    <xdr:sp macro="[0]!ShowSmall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947039" y="3521248"/>
          <a:ext cx="1280160" cy="36576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Highlight Smaller</a:t>
          </a:r>
        </a:p>
      </xdr:txBody>
    </xdr:sp>
    <xdr:clientData/>
  </xdr:twoCellAnchor>
  <xdr:twoCellAnchor>
    <xdr:from>
      <xdr:col>9</xdr:col>
      <xdr:colOff>362158</xdr:colOff>
      <xdr:row>19</xdr:row>
      <xdr:rowOff>42552</xdr:rowOff>
    </xdr:from>
    <xdr:to>
      <xdr:col>11</xdr:col>
      <xdr:colOff>416492</xdr:colOff>
      <xdr:row>21</xdr:row>
      <xdr:rowOff>27312</xdr:rowOff>
    </xdr:to>
    <xdr:sp macro="[0]!ShowLarg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338310" y="3521248"/>
          <a:ext cx="1280160" cy="36576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Highlight Larger </a:t>
          </a:r>
        </a:p>
      </xdr:txBody>
    </xdr:sp>
    <xdr:clientData/>
  </xdr:twoCellAnchor>
  <xdr:twoCellAnchor>
    <xdr:from>
      <xdr:col>7</xdr:col>
      <xdr:colOff>204996</xdr:colOff>
      <xdr:row>23</xdr:row>
      <xdr:rowOff>1449</xdr:rowOff>
    </xdr:from>
    <xdr:to>
      <xdr:col>9</xdr:col>
      <xdr:colOff>195471</xdr:colOff>
      <xdr:row>24</xdr:row>
      <xdr:rowOff>187187</xdr:rowOff>
    </xdr:to>
    <xdr:sp macro="[0]!CalcRepor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955322" y="4242145"/>
          <a:ext cx="1216301" cy="376238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Calculate</a:t>
          </a:r>
          <a:r>
            <a:rPr lang="en-US" sz="1100" b="1" baseline="0"/>
            <a:t> Report</a:t>
          </a:r>
          <a:endParaRPr lang="en-US" sz="1100" b="1"/>
        </a:p>
      </xdr:txBody>
    </xdr:sp>
    <xdr:clientData/>
  </xdr:twoCellAnchor>
  <xdr:twoCellAnchor>
    <xdr:from>
      <xdr:col>5</xdr:col>
      <xdr:colOff>36029</xdr:colOff>
      <xdr:row>16</xdr:row>
      <xdr:rowOff>39757</xdr:rowOff>
    </xdr:from>
    <xdr:to>
      <xdr:col>7</xdr:col>
      <xdr:colOff>37686</xdr:colOff>
      <xdr:row>17</xdr:row>
      <xdr:rowOff>168344</xdr:rowOff>
    </xdr:to>
    <xdr:sp macro="[0]!SortByEmployee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187812" y="2946953"/>
          <a:ext cx="1600200" cy="319087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Sort by Employee</a:t>
          </a:r>
        </a:p>
      </xdr:txBody>
    </xdr:sp>
    <xdr:clientData/>
  </xdr:twoCellAnchor>
  <xdr:twoCellAnchor>
    <xdr:from>
      <xdr:col>7</xdr:col>
      <xdr:colOff>204996</xdr:colOff>
      <xdr:row>26</xdr:row>
      <xdr:rowOff>4762</xdr:rowOff>
    </xdr:from>
    <xdr:to>
      <xdr:col>10</xdr:col>
      <xdr:colOff>248478</xdr:colOff>
      <xdr:row>28</xdr:row>
      <xdr:rowOff>0</xdr:rowOff>
    </xdr:to>
    <xdr:sp macro="[0]!TotalCos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607453" y="5007458"/>
          <a:ext cx="1882221" cy="376238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Calculate</a:t>
          </a:r>
          <a:r>
            <a:rPr lang="en-US" sz="1100" b="1" baseline="0"/>
            <a:t> Employee Report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23</xdr:row>
      <xdr:rowOff>47625</xdr:rowOff>
    </xdr:from>
    <xdr:to>
      <xdr:col>5</xdr:col>
      <xdr:colOff>295275</xdr:colOff>
      <xdr:row>26</xdr:row>
      <xdr:rowOff>66675</xdr:rowOff>
    </xdr:to>
    <xdr:sp macro="[0]!FilterLocatio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14875" y="2000250"/>
          <a:ext cx="1390650" cy="59055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Filter Location and</a:t>
          </a:r>
          <a:r>
            <a:rPr lang="en-US" sz="1100" b="1" baseline="0"/>
            <a:t> Find Max Nights</a:t>
          </a:r>
          <a:endParaRPr lang="en-US" sz="1100" b="1"/>
        </a:p>
      </xdr:txBody>
    </xdr:sp>
    <xdr:clientData/>
  </xdr:twoCellAnchor>
  <xdr:twoCellAnchor>
    <xdr:from>
      <xdr:col>4</xdr:col>
      <xdr:colOff>76200</xdr:colOff>
      <xdr:row>26</xdr:row>
      <xdr:rowOff>161925</xdr:rowOff>
    </xdr:from>
    <xdr:to>
      <xdr:col>5</xdr:col>
      <xdr:colOff>676275</xdr:colOff>
      <xdr:row>30</xdr:row>
      <xdr:rowOff>9525</xdr:rowOff>
    </xdr:to>
    <xdr:sp macro="[0]!TravelCostEmploye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724400" y="2686050"/>
          <a:ext cx="1762125" cy="6096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Calculate Employee Travel Cost and Return Date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24849</xdr:colOff>
      <xdr:row>25</xdr:row>
      <xdr:rowOff>182217</xdr:rowOff>
    </xdr:from>
    <xdr:to>
      <xdr:col>6</xdr:col>
      <xdr:colOff>704023</xdr:colOff>
      <xdr:row>29</xdr:row>
      <xdr:rowOff>29817</xdr:rowOff>
    </xdr:to>
    <xdr:sp macro="[0]!EmployeeTrave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99284" y="4994413"/>
          <a:ext cx="1631674" cy="6096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Employee</a:t>
          </a:r>
          <a:r>
            <a:rPr lang="en-US" sz="1100" b="1" baseline="0"/>
            <a:t> Travel: Lookup or Add New Trip</a:t>
          </a:r>
          <a:endParaRPr lang="en-US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24849</xdr:colOff>
      <xdr:row>24</xdr:row>
      <xdr:rowOff>182217</xdr:rowOff>
    </xdr:from>
    <xdr:to>
      <xdr:col>6</xdr:col>
      <xdr:colOff>704023</xdr:colOff>
      <xdr:row>26</xdr:row>
      <xdr:rowOff>165652</xdr:rowOff>
    </xdr:to>
    <xdr:sp macro="[0]!TableUpda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199284" y="4803913"/>
          <a:ext cx="1631674" cy="364435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Update Travel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2:G16"/>
  <sheetViews>
    <sheetView showGridLines="0" showRowColHeaders="0" workbookViewId="0">
      <selection activeCell="D16" sqref="D16"/>
    </sheetView>
  </sheetViews>
  <sheetFormatPr defaultColWidth="9.140625" defaultRowHeight="15" x14ac:dyDescent="0.2"/>
  <cols>
    <col min="1" max="16384" width="9.140625" style="35"/>
  </cols>
  <sheetData>
    <row r="2" spans="2:7" ht="20.25" x14ac:dyDescent="0.3">
      <c r="B2" s="34" t="s">
        <v>95</v>
      </c>
    </row>
    <row r="3" spans="2:7" ht="20.25" x14ac:dyDescent="0.3">
      <c r="B3" s="34" t="s">
        <v>96</v>
      </c>
    </row>
    <row r="4" spans="2:7" ht="15.75" x14ac:dyDescent="0.25">
      <c r="B4" s="36"/>
    </row>
    <row r="5" spans="2:7" ht="15.75" x14ac:dyDescent="0.25">
      <c r="B5" s="36" t="s">
        <v>97</v>
      </c>
      <c r="D5" s="46" t="s">
        <v>105</v>
      </c>
      <c r="E5" s="47"/>
      <c r="F5" s="47"/>
      <c r="G5" s="48"/>
    </row>
    <row r="6" spans="2:7" ht="15.75" x14ac:dyDescent="0.25">
      <c r="B6" s="36"/>
    </row>
    <row r="7" spans="2:7" ht="15.75" x14ac:dyDescent="0.25">
      <c r="B7" s="36" t="s">
        <v>98</v>
      </c>
      <c r="D7" s="37">
        <v>62379</v>
      </c>
    </row>
    <row r="8" spans="2:7" x14ac:dyDescent="0.2">
      <c r="B8" s="38" t="s">
        <v>99</v>
      </c>
      <c r="C8" s="39"/>
      <c r="D8" s="40" t="s">
        <v>106</v>
      </c>
    </row>
    <row r="9" spans="2:7" x14ac:dyDescent="0.2">
      <c r="B9" s="38"/>
      <c r="C9" s="39"/>
      <c r="D9" s="40"/>
    </row>
    <row r="10" spans="2:7" x14ac:dyDescent="0.2">
      <c r="B10" s="41"/>
      <c r="C10" s="41"/>
      <c r="D10" s="41"/>
    </row>
    <row r="11" spans="2:7" ht="15.75" x14ac:dyDescent="0.25">
      <c r="B11" s="36" t="s">
        <v>100</v>
      </c>
    </row>
    <row r="12" spans="2:7" x14ac:dyDescent="0.2">
      <c r="B12" s="42" t="s">
        <v>101</v>
      </c>
    </row>
    <row r="13" spans="2:7" x14ac:dyDescent="0.2">
      <c r="B13" s="42" t="s">
        <v>102</v>
      </c>
    </row>
    <row r="14" spans="2:7" x14ac:dyDescent="0.2">
      <c r="B14" s="42" t="s">
        <v>103</v>
      </c>
    </row>
    <row r="16" spans="2:7" ht="15.75" x14ac:dyDescent="0.25">
      <c r="B16" s="36" t="s">
        <v>104</v>
      </c>
      <c r="D16" s="43" t="s">
        <v>107</v>
      </c>
    </row>
  </sheetData>
  <sheetProtection algorithmName="SHA-512" hashValue="1X5ht/yl7BJkIxf8fInbtvNSX9WCjmI241NfXqAdY8phIH0+XXQNdxgIn1xM+zbyThOov2fUmhGlhwfdgtgpfA==" saltValue="DOlwbs2do533z0lmCyrj1Q==" spinCount="100000" sheet="1" objects="1" scenarios="1" selectLockedCells="1"/>
  <mergeCells count="1">
    <mergeCell ref="D5:G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P38"/>
  <sheetViews>
    <sheetView tabSelected="1" topLeftCell="A9" zoomScale="115" zoomScaleNormal="115" workbookViewId="0">
      <selection activeCell="D40" sqref="D40"/>
    </sheetView>
  </sheetViews>
  <sheetFormatPr defaultRowHeight="15" x14ac:dyDescent="0.25"/>
  <cols>
    <col min="1" max="4" width="17" customWidth="1"/>
    <col min="5" max="5" width="4.42578125" customWidth="1"/>
    <col min="6" max="6" width="11.28515625" style="10" customWidth="1"/>
    <col min="7" max="7" width="12.140625" customWidth="1"/>
    <col min="13" max="14" width="4.5703125" customWidth="1"/>
    <col min="15" max="15" width="8.85546875" bestFit="1" customWidth="1"/>
    <col min="16" max="16" width="8.28515625" bestFit="1" customWidth="1"/>
    <col min="17" max="461" width="4.5703125" customWidth="1"/>
  </cols>
  <sheetData>
    <row r="1" spans="1:12" ht="18.75" x14ac:dyDescent="0.3">
      <c r="A1" s="1" t="s">
        <v>0</v>
      </c>
      <c r="B1" s="2"/>
      <c r="C1" s="3"/>
      <c r="D1" s="3"/>
      <c r="E1" s="3"/>
      <c r="F1" s="8"/>
      <c r="G1" s="2"/>
      <c r="H1" s="3"/>
      <c r="I1" s="3"/>
      <c r="J1" s="1"/>
      <c r="K1" s="2"/>
      <c r="L1" s="2"/>
    </row>
    <row r="2" spans="1:12" x14ac:dyDescent="0.25">
      <c r="A2" s="4" t="s">
        <v>27</v>
      </c>
      <c r="B2" s="5"/>
      <c r="C2" s="5"/>
      <c r="D2" s="5"/>
      <c r="E2" s="5"/>
      <c r="F2" s="9"/>
      <c r="G2" s="5"/>
      <c r="H2" s="5"/>
      <c r="I2" s="5"/>
      <c r="J2" s="4"/>
      <c r="K2" s="5"/>
      <c r="L2" s="5"/>
    </row>
    <row r="3" spans="1:12" x14ac:dyDescent="0.25">
      <c r="A3" s="4" t="s">
        <v>4</v>
      </c>
      <c r="B3" s="5"/>
      <c r="C3" s="5"/>
      <c r="D3" s="5"/>
      <c r="E3" s="5"/>
      <c r="F3" s="9"/>
      <c r="G3" s="5"/>
      <c r="H3" s="5"/>
      <c r="I3" s="5"/>
      <c r="J3" s="4"/>
      <c r="K3" s="5"/>
      <c r="L3" s="5"/>
    </row>
    <row r="4" spans="1:12" x14ac:dyDescent="0.25">
      <c r="A4" s="13" t="s">
        <v>28</v>
      </c>
      <c r="B4" s="14"/>
      <c r="C4" s="14"/>
      <c r="D4" s="14"/>
      <c r="E4" s="14"/>
      <c r="F4" s="15"/>
      <c r="G4" s="14"/>
      <c r="H4" s="14"/>
      <c r="I4" s="14"/>
      <c r="J4" s="13"/>
      <c r="K4" s="14"/>
      <c r="L4" s="14"/>
    </row>
    <row r="6" spans="1:12" x14ac:dyDescent="0.25">
      <c r="A6" s="17" t="s">
        <v>29</v>
      </c>
      <c r="B6" s="16"/>
      <c r="C6" s="16"/>
      <c r="D6" s="16"/>
      <c r="E6" s="16"/>
      <c r="F6" s="19"/>
      <c r="G6" s="16"/>
      <c r="H6" s="16"/>
      <c r="I6" s="16"/>
      <c r="J6" s="16"/>
      <c r="K6" s="16"/>
      <c r="L6" s="16"/>
    </row>
    <row r="7" spans="1:12" x14ac:dyDescent="0.25">
      <c r="A7" s="20" t="s">
        <v>32</v>
      </c>
      <c r="B7" s="16"/>
      <c r="C7" s="16"/>
      <c r="D7" s="16"/>
      <c r="E7" s="16"/>
      <c r="F7" s="19"/>
      <c r="G7" s="16"/>
      <c r="H7" s="16"/>
      <c r="I7" s="16"/>
      <c r="J7" s="16"/>
      <c r="K7" s="16"/>
      <c r="L7" s="16"/>
    </row>
    <row r="8" spans="1:12" x14ac:dyDescent="0.25">
      <c r="A8" s="17" t="s">
        <v>30</v>
      </c>
      <c r="B8" s="16"/>
      <c r="C8" s="16"/>
      <c r="D8" s="16"/>
      <c r="E8" s="16"/>
      <c r="F8" s="19"/>
      <c r="G8" s="16"/>
      <c r="H8" s="16"/>
      <c r="I8" s="16"/>
      <c r="J8" s="16"/>
      <c r="K8" s="16"/>
      <c r="L8" s="16"/>
    </row>
    <row r="9" spans="1:12" x14ac:dyDescent="0.25">
      <c r="A9" s="20" t="s">
        <v>33</v>
      </c>
      <c r="B9" s="16"/>
      <c r="C9" s="16"/>
      <c r="D9" s="16"/>
      <c r="E9" s="16"/>
      <c r="F9" s="19"/>
      <c r="G9" s="16"/>
      <c r="H9" s="16"/>
      <c r="I9" s="16"/>
      <c r="J9" s="16"/>
      <c r="K9" s="16"/>
      <c r="L9" s="16"/>
    </row>
    <row r="10" spans="1:12" x14ac:dyDescent="0.25">
      <c r="A10" s="20" t="s">
        <v>34</v>
      </c>
      <c r="B10" s="16"/>
      <c r="C10" s="16"/>
      <c r="D10" s="16"/>
      <c r="E10" s="16"/>
      <c r="F10" s="19"/>
      <c r="G10" s="16"/>
      <c r="H10" s="16"/>
      <c r="I10" s="16"/>
      <c r="J10" s="16"/>
      <c r="K10" s="16"/>
      <c r="L10" s="16"/>
    </row>
    <row r="11" spans="1:12" x14ac:dyDescent="0.25">
      <c r="A11" s="17" t="s">
        <v>31</v>
      </c>
      <c r="B11" s="16"/>
      <c r="C11" s="16"/>
      <c r="D11" s="16"/>
      <c r="E11" s="16"/>
      <c r="F11" s="19"/>
      <c r="G11" s="16"/>
      <c r="H11" s="16"/>
      <c r="I11" s="16"/>
      <c r="J11" s="16"/>
      <c r="K11" s="16"/>
      <c r="L11" s="16"/>
    </row>
    <row r="12" spans="1:12" x14ac:dyDescent="0.25">
      <c r="A12" s="20" t="s">
        <v>35</v>
      </c>
      <c r="B12" s="16"/>
      <c r="C12" s="16"/>
      <c r="D12" s="16"/>
      <c r="E12" s="16"/>
      <c r="F12" s="19"/>
      <c r="G12" s="16"/>
      <c r="H12" s="16"/>
      <c r="I12" s="16"/>
      <c r="J12" s="16"/>
      <c r="K12" s="16"/>
      <c r="L12" s="16"/>
    </row>
    <row r="13" spans="1:12" x14ac:dyDescent="0.25">
      <c r="A13" s="17" t="s">
        <v>37</v>
      </c>
      <c r="B13" s="16"/>
      <c r="C13" s="16"/>
      <c r="D13" s="16"/>
      <c r="E13" s="16"/>
      <c r="F13" s="19"/>
      <c r="G13" s="16"/>
      <c r="H13" s="16"/>
      <c r="I13" s="16"/>
      <c r="J13" s="16"/>
      <c r="K13" s="16"/>
      <c r="L13" s="16"/>
    </row>
    <row r="14" spans="1:12" x14ac:dyDescent="0.25">
      <c r="A14" s="20" t="s">
        <v>38</v>
      </c>
      <c r="B14" s="16"/>
      <c r="C14" s="16"/>
      <c r="D14" s="16"/>
      <c r="E14" s="16"/>
      <c r="F14" s="19"/>
      <c r="G14" s="16"/>
      <c r="H14" s="16"/>
      <c r="I14" s="16"/>
      <c r="J14" s="16"/>
      <c r="K14" s="16"/>
      <c r="L14" s="16"/>
    </row>
    <row r="15" spans="1:12" x14ac:dyDescent="0.25">
      <c r="A15" s="20" t="s">
        <v>39</v>
      </c>
      <c r="B15" s="16"/>
      <c r="C15" s="16"/>
      <c r="D15" s="16"/>
      <c r="E15" s="16"/>
      <c r="F15" s="19"/>
      <c r="G15" s="16"/>
      <c r="H15" s="16"/>
      <c r="I15" s="16"/>
      <c r="J15" s="16"/>
      <c r="K15" s="16"/>
      <c r="L15" s="16"/>
    </row>
    <row r="17" spans="1:16" x14ac:dyDescent="0.25">
      <c r="A17" s="11" t="s">
        <v>7</v>
      </c>
      <c r="B17" s="11" t="s">
        <v>16</v>
      </c>
      <c r="C17" s="11" t="s">
        <v>17</v>
      </c>
      <c r="D17" s="11" t="s">
        <v>18</v>
      </c>
      <c r="F17" s="18"/>
      <c r="P17" s="44"/>
    </row>
    <row r="18" spans="1:16" x14ac:dyDescent="0.25">
      <c r="A18" s="12" t="s">
        <v>11</v>
      </c>
      <c r="B18" s="24" t="s">
        <v>23</v>
      </c>
      <c r="C18" s="31">
        <v>1</v>
      </c>
      <c r="D18" s="25">
        <v>562.5</v>
      </c>
      <c r="F18"/>
    </row>
    <row r="19" spans="1:16" x14ac:dyDescent="0.25">
      <c r="A19" s="12" t="s">
        <v>14</v>
      </c>
      <c r="B19" s="24" t="s">
        <v>23</v>
      </c>
      <c r="C19" s="31">
        <v>4</v>
      </c>
      <c r="D19" s="25">
        <v>462.5</v>
      </c>
    </row>
    <row r="20" spans="1:16" x14ac:dyDescent="0.25">
      <c r="A20" s="12" t="s">
        <v>15</v>
      </c>
      <c r="B20" s="24" t="s">
        <v>19</v>
      </c>
      <c r="C20" s="31">
        <v>5</v>
      </c>
      <c r="D20" s="25">
        <v>650</v>
      </c>
      <c r="F20" s="18" t="s">
        <v>25</v>
      </c>
    </row>
    <row r="21" spans="1:16" x14ac:dyDescent="0.25">
      <c r="A21" s="12" t="s">
        <v>11</v>
      </c>
      <c r="B21" s="24" t="s">
        <v>19</v>
      </c>
      <c r="C21" s="31">
        <v>5</v>
      </c>
      <c r="D21" s="25">
        <v>750</v>
      </c>
      <c r="F21" s="11" t="s">
        <v>26</v>
      </c>
      <c r="G21" s="26">
        <v>3</v>
      </c>
    </row>
    <row r="22" spans="1:16" x14ac:dyDescent="0.25">
      <c r="A22" s="12" t="s">
        <v>9</v>
      </c>
      <c r="B22" s="24" t="s">
        <v>24</v>
      </c>
      <c r="C22" s="31">
        <v>1</v>
      </c>
      <c r="D22" s="25">
        <v>675</v>
      </c>
    </row>
    <row r="23" spans="1:16" x14ac:dyDescent="0.25">
      <c r="A23" s="12" t="s">
        <v>9</v>
      </c>
      <c r="B23" s="24" t="s">
        <v>24</v>
      </c>
      <c r="C23" s="31">
        <v>1</v>
      </c>
      <c r="D23" s="25">
        <v>475</v>
      </c>
      <c r="F23" s="21" t="s">
        <v>108</v>
      </c>
      <c r="G23" s="22"/>
    </row>
    <row r="24" spans="1:16" x14ac:dyDescent="0.25">
      <c r="A24" s="12" t="s">
        <v>13</v>
      </c>
      <c r="B24" s="24" t="s">
        <v>24</v>
      </c>
      <c r="C24" s="31">
        <v>2</v>
      </c>
      <c r="D24" s="25">
        <v>575</v>
      </c>
      <c r="F24" s="12" t="s">
        <v>5</v>
      </c>
      <c r="G24" s="29">
        <v>250</v>
      </c>
    </row>
    <row r="25" spans="1:16" x14ac:dyDescent="0.25">
      <c r="A25" s="12" t="s">
        <v>13</v>
      </c>
      <c r="B25" s="24" t="s">
        <v>24</v>
      </c>
      <c r="C25" s="31">
        <v>3</v>
      </c>
      <c r="D25" s="25">
        <v>475</v>
      </c>
      <c r="F25" s="12" t="s">
        <v>6</v>
      </c>
      <c r="G25" s="29">
        <v>750</v>
      </c>
    </row>
    <row r="26" spans="1:16" x14ac:dyDescent="0.25">
      <c r="A26" s="12" t="s">
        <v>15</v>
      </c>
      <c r="B26" s="24" t="s">
        <v>20</v>
      </c>
      <c r="C26" s="31">
        <v>3</v>
      </c>
      <c r="D26" s="25">
        <v>250</v>
      </c>
    </row>
    <row r="27" spans="1:16" x14ac:dyDescent="0.25">
      <c r="A27" s="12" t="s">
        <v>8</v>
      </c>
      <c r="B27" s="24" t="s">
        <v>20</v>
      </c>
      <c r="C27" s="31">
        <v>4</v>
      </c>
      <c r="D27" s="25">
        <v>250</v>
      </c>
      <c r="F27" s="27" t="s">
        <v>7</v>
      </c>
      <c r="G27" s="12" t="s">
        <v>12</v>
      </c>
    </row>
    <row r="28" spans="1:16" x14ac:dyDescent="0.25">
      <c r="A28" s="12" t="s">
        <v>11</v>
      </c>
      <c r="B28" s="24" t="s">
        <v>20</v>
      </c>
      <c r="C28" s="31">
        <v>2</v>
      </c>
      <c r="D28" s="25">
        <v>350</v>
      </c>
      <c r="F28" s="11" t="s">
        <v>36</v>
      </c>
      <c r="G28" s="11" t="s">
        <v>18</v>
      </c>
    </row>
    <row r="29" spans="1:16" x14ac:dyDescent="0.25">
      <c r="A29" s="12" t="s">
        <v>12</v>
      </c>
      <c r="B29" s="24" t="s">
        <v>20</v>
      </c>
      <c r="C29" s="31">
        <v>1</v>
      </c>
      <c r="D29" s="25">
        <v>450</v>
      </c>
      <c r="F29" s="30">
        <v>6</v>
      </c>
      <c r="G29" s="29">
        <v>850</v>
      </c>
    </row>
    <row r="30" spans="1:16" x14ac:dyDescent="0.25">
      <c r="A30" s="12" t="s">
        <v>8</v>
      </c>
      <c r="B30" s="24" t="s">
        <v>22</v>
      </c>
      <c r="C30" s="31">
        <v>1</v>
      </c>
      <c r="D30" s="25">
        <v>600</v>
      </c>
    </row>
    <row r="31" spans="1:16" x14ac:dyDescent="0.25">
      <c r="A31" s="12" t="s">
        <v>11</v>
      </c>
      <c r="B31" s="24" t="s">
        <v>22</v>
      </c>
      <c r="C31" s="31">
        <v>4</v>
      </c>
      <c r="D31" s="25">
        <v>500</v>
      </c>
    </row>
    <row r="32" spans="1:16" x14ac:dyDescent="0.25">
      <c r="A32" s="12" t="s">
        <v>12</v>
      </c>
      <c r="B32" s="24" t="s">
        <v>22</v>
      </c>
      <c r="C32" s="31">
        <v>5</v>
      </c>
      <c r="D32" s="25">
        <v>400</v>
      </c>
    </row>
    <row r="33" spans="1:4" x14ac:dyDescent="0.25">
      <c r="A33" s="12" t="s">
        <v>13</v>
      </c>
      <c r="B33" s="24" t="s">
        <v>22</v>
      </c>
      <c r="C33" s="31">
        <v>1</v>
      </c>
      <c r="D33" s="25">
        <v>500</v>
      </c>
    </row>
    <row r="34" spans="1:4" x14ac:dyDescent="0.25">
      <c r="A34" s="12" t="s">
        <v>14</v>
      </c>
      <c r="B34" s="24" t="s">
        <v>22</v>
      </c>
      <c r="C34" s="31">
        <v>5</v>
      </c>
      <c r="D34" s="25">
        <v>600</v>
      </c>
    </row>
    <row r="35" spans="1:4" x14ac:dyDescent="0.25">
      <c r="A35" s="12" t="s">
        <v>10</v>
      </c>
      <c r="B35" s="24" t="s">
        <v>21</v>
      </c>
      <c r="C35" s="31">
        <v>2</v>
      </c>
      <c r="D35" s="25">
        <v>287.5</v>
      </c>
    </row>
    <row r="36" spans="1:4" x14ac:dyDescent="0.25">
      <c r="A36" s="12" t="s">
        <v>10</v>
      </c>
      <c r="B36" s="24" t="s">
        <v>21</v>
      </c>
      <c r="C36" s="31">
        <v>3</v>
      </c>
      <c r="D36" s="25">
        <v>487.5</v>
      </c>
    </row>
    <row r="37" spans="1:4" x14ac:dyDescent="0.25">
      <c r="A37" s="58" t="s">
        <v>13</v>
      </c>
      <c r="B37" s="59" t="s">
        <v>21</v>
      </c>
      <c r="C37" s="60">
        <v>3</v>
      </c>
      <c r="D37" s="61">
        <v>487.5</v>
      </c>
    </row>
    <row r="38" spans="1:4" x14ac:dyDescent="0.25">
      <c r="A38" s="62"/>
      <c r="B38" s="63"/>
      <c r="C38" s="64"/>
      <c r="D38" s="65"/>
    </row>
  </sheetData>
  <sortState xmlns:xlrd2="http://schemas.microsoft.com/office/spreadsheetml/2017/richdata2" ref="A18:D37">
    <sortCondition ref="B18"/>
  </sortState>
  <conditionalFormatting sqref="A18:D37">
    <cfRule type="expression" dxfId="1" priority="1" stopIfTrue="1">
      <formula>$C18 &gt; $G$21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46"/>
  <sheetViews>
    <sheetView topLeftCell="A3" zoomScale="120" zoomScaleNormal="120" workbookViewId="0">
      <selection activeCell="A24" sqref="A24"/>
    </sheetView>
  </sheetViews>
  <sheetFormatPr defaultColWidth="5" defaultRowHeight="15" x14ac:dyDescent="0.25"/>
  <cols>
    <col min="1" max="1" width="16.5703125" customWidth="1"/>
    <col min="2" max="2" width="14.28515625" bestFit="1" customWidth="1"/>
    <col min="3" max="3" width="16.85546875" bestFit="1" customWidth="1"/>
    <col min="5" max="8" width="18" customWidth="1"/>
  </cols>
  <sheetData>
    <row r="1" spans="1:11" ht="18.75" x14ac:dyDescent="0.3">
      <c r="A1" s="1" t="s">
        <v>1</v>
      </c>
      <c r="B1" s="2"/>
      <c r="C1" s="3"/>
      <c r="D1" s="3"/>
      <c r="E1" s="3"/>
      <c r="F1" s="3"/>
      <c r="G1" s="2"/>
      <c r="H1" s="3"/>
      <c r="I1" s="3"/>
      <c r="J1" s="3"/>
      <c r="K1" s="3"/>
    </row>
    <row r="2" spans="1:11" x14ac:dyDescent="0.25">
      <c r="A2" s="4" t="s">
        <v>47</v>
      </c>
      <c r="B2" s="5"/>
      <c r="C2" s="5"/>
      <c r="D2" s="5"/>
      <c r="E2" s="5"/>
      <c r="F2" s="5"/>
      <c r="G2" s="5"/>
      <c r="H2" s="5"/>
      <c r="I2" s="5"/>
      <c r="J2" s="5"/>
      <c r="K2" s="5"/>
    </row>
    <row r="3" spans="1:11" x14ac:dyDescent="0.25">
      <c r="A3" s="4" t="s">
        <v>48</v>
      </c>
      <c r="B3" s="5"/>
      <c r="C3" s="5"/>
      <c r="D3" s="5"/>
      <c r="E3" s="5"/>
      <c r="F3" s="5"/>
      <c r="G3" s="5"/>
      <c r="H3" s="5"/>
      <c r="I3" s="5"/>
      <c r="J3" s="5"/>
      <c r="K3" s="5"/>
    </row>
    <row r="4" spans="1:11" x14ac:dyDescent="0.25">
      <c r="A4" s="4" t="s">
        <v>49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11" x14ac:dyDescent="0.25">
      <c r="A5" s="13" t="s">
        <v>50</v>
      </c>
      <c r="B5" s="14"/>
      <c r="C5" s="14"/>
      <c r="D5" s="14"/>
      <c r="E5" s="14"/>
      <c r="F5" s="14"/>
      <c r="G5" s="14"/>
      <c r="H5" s="14"/>
      <c r="I5" s="14"/>
      <c r="J5" s="14"/>
      <c r="K5" s="14"/>
    </row>
    <row r="7" spans="1:11" x14ac:dyDescent="0.25">
      <c r="A7" s="17" t="s">
        <v>51</v>
      </c>
      <c r="B7" s="16"/>
      <c r="C7" s="16"/>
      <c r="D7" s="16"/>
      <c r="E7" s="16"/>
      <c r="F7" s="16"/>
      <c r="G7" s="16"/>
      <c r="H7" s="16"/>
      <c r="I7" s="16"/>
      <c r="J7" s="16"/>
      <c r="K7" s="16"/>
    </row>
    <row r="8" spans="1:11" x14ac:dyDescent="0.25">
      <c r="A8" s="20" t="s">
        <v>52</v>
      </c>
      <c r="B8" s="16"/>
      <c r="C8" s="16"/>
      <c r="D8" s="16"/>
      <c r="E8" s="16"/>
      <c r="F8" s="16"/>
      <c r="G8" s="16"/>
      <c r="H8" s="16"/>
      <c r="I8" s="16"/>
      <c r="J8" s="16"/>
      <c r="K8" s="16"/>
    </row>
    <row r="9" spans="1:11" x14ac:dyDescent="0.25">
      <c r="A9" s="20" t="s">
        <v>53</v>
      </c>
      <c r="B9" s="16"/>
      <c r="C9" s="16"/>
      <c r="D9" s="16"/>
      <c r="E9" s="16"/>
      <c r="F9" s="16"/>
      <c r="G9" s="16"/>
      <c r="H9" s="16"/>
      <c r="I9" s="16"/>
      <c r="J9" s="16"/>
      <c r="K9" s="16"/>
    </row>
    <row r="10" spans="1:11" x14ac:dyDescent="0.25">
      <c r="A10" s="20" t="s">
        <v>54</v>
      </c>
      <c r="B10" s="16"/>
      <c r="C10" s="16"/>
      <c r="D10" s="16"/>
      <c r="E10" s="16"/>
      <c r="F10" s="16"/>
      <c r="G10" s="16"/>
      <c r="H10" s="16"/>
      <c r="I10" s="16"/>
      <c r="J10" s="16"/>
      <c r="K10" s="16"/>
    </row>
    <row r="11" spans="1:11" x14ac:dyDescent="0.25">
      <c r="A11" s="20" t="s">
        <v>55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 x14ac:dyDescent="0.25">
      <c r="A12" s="20" t="s">
        <v>56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</row>
    <row r="13" spans="1:11" x14ac:dyDescent="0.25">
      <c r="A13" s="20" t="s">
        <v>57</v>
      </c>
      <c r="B13" s="16"/>
      <c r="C13" s="16"/>
      <c r="D13" s="16"/>
      <c r="E13" s="16"/>
      <c r="F13" s="16"/>
      <c r="G13" s="16"/>
      <c r="H13" s="16"/>
      <c r="I13" s="16"/>
      <c r="J13" s="16"/>
      <c r="K13" s="16"/>
    </row>
    <row r="15" spans="1:11" x14ac:dyDescent="0.25">
      <c r="A15" s="17" t="s">
        <v>58</v>
      </c>
      <c r="B15" s="20"/>
      <c r="C15" s="20"/>
      <c r="D15" s="20"/>
      <c r="E15" s="20"/>
      <c r="F15" s="20"/>
      <c r="G15" s="20"/>
      <c r="H15" s="20"/>
      <c r="I15" s="20"/>
      <c r="J15" s="20"/>
      <c r="K15" s="20"/>
    </row>
    <row r="16" spans="1:11" x14ac:dyDescent="0.25">
      <c r="A16" s="20" t="s">
        <v>59</v>
      </c>
      <c r="B16" s="20"/>
      <c r="C16" s="20"/>
      <c r="D16" s="20"/>
      <c r="E16" s="20"/>
      <c r="F16" s="20"/>
      <c r="G16" s="20"/>
      <c r="H16" s="20"/>
      <c r="I16" s="20"/>
      <c r="J16" s="20"/>
      <c r="K16" s="20"/>
    </row>
    <row r="17" spans="1:11" x14ac:dyDescent="0.25">
      <c r="A17" s="20" t="s">
        <v>60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</row>
    <row r="18" spans="1:11" x14ac:dyDescent="0.25">
      <c r="A18" s="20" t="s">
        <v>61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</row>
    <row r="19" spans="1:11" x14ac:dyDescent="0.25">
      <c r="A19" s="20" t="s">
        <v>63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</row>
    <row r="20" spans="1:11" x14ac:dyDescent="0.25">
      <c r="A20" s="20" t="s">
        <v>65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</row>
    <row r="21" spans="1:11" x14ac:dyDescent="0.25">
      <c r="A21" s="20" t="s">
        <v>64</v>
      </c>
      <c r="B21" s="20"/>
      <c r="C21" s="20"/>
      <c r="D21" s="20"/>
      <c r="E21" s="20"/>
      <c r="F21" s="20"/>
      <c r="G21" s="20"/>
      <c r="H21" s="20"/>
      <c r="I21" s="20"/>
      <c r="J21" s="20"/>
      <c r="K21" s="20"/>
    </row>
    <row r="22" spans="1:11" x14ac:dyDescent="0.25">
      <c r="G22" s="45"/>
    </row>
    <row r="23" spans="1:11" x14ac:dyDescent="0.25">
      <c r="A23" s="23" t="s">
        <v>41</v>
      </c>
    </row>
    <row r="24" spans="1:11" x14ac:dyDescent="0.25">
      <c r="A24" s="32" t="s">
        <v>7</v>
      </c>
      <c r="B24" s="32" t="s">
        <v>16</v>
      </c>
      <c r="C24" s="11" t="s">
        <v>17</v>
      </c>
    </row>
    <row r="25" spans="1:11" x14ac:dyDescent="0.25">
      <c r="A25" s="28" t="s">
        <v>15</v>
      </c>
      <c r="B25" s="33" t="s">
        <v>19</v>
      </c>
      <c r="C25" s="31">
        <v>5</v>
      </c>
      <c r="G25" s="45"/>
    </row>
    <row r="26" spans="1:11" x14ac:dyDescent="0.25">
      <c r="A26" s="28" t="s">
        <v>8</v>
      </c>
      <c r="B26" s="33" t="s">
        <v>20</v>
      </c>
      <c r="C26" s="31">
        <v>3</v>
      </c>
    </row>
    <row r="27" spans="1:11" x14ac:dyDescent="0.25">
      <c r="A27" s="28" t="s">
        <v>9</v>
      </c>
      <c r="B27" s="33" t="s">
        <v>24</v>
      </c>
      <c r="C27" s="31">
        <v>1</v>
      </c>
    </row>
    <row r="28" spans="1:11" x14ac:dyDescent="0.25">
      <c r="A28" s="28" t="s">
        <v>10</v>
      </c>
      <c r="B28" s="33" t="s">
        <v>21</v>
      </c>
      <c r="C28" s="31">
        <v>2</v>
      </c>
    </row>
    <row r="29" spans="1:11" x14ac:dyDescent="0.25">
      <c r="A29" s="28" t="s">
        <v>11</v>
      </c>
      <c r="B29" s="33" t="s">
        <v>23</v>
      </c>
      <c r="C29" s="31">
        <v>1</v>
      </c>
    </row>
    <row r="30" spans="1:11" x14ac:dyDescent="0.25">
      <c r="A30" s="28" t="s">
        <v>12</v>
      </c>
      <c r="B30" s="33" t="s">
        <v>20</v>
      </c>
      <c r="C30" s="66">
        <v>1</v>
      </c>
    </row>
    <row r="31" spans="1:11" x14ac:dyDescent="0.25">
      <c r="A31" s="28" t="s">
        <v>13</v>
      </c>
      <c r="B31" s="33" t="s">
        <v>24</v>
      </c>
      <c r="C31" s="66">
        <v>2</v>
      </c>
    </row>
    <row r="32" spans="1:11" x14ac:dyDescent="0.25">
      <c r="A32" s="28" t="s">
        <v>14</v>
      </c>
      <c r="B32" s="33" t="s">
        <v>23</v>
      </c>
      <c r="C32" s="31">
        <v>4</v>
      </c>
    </row>
    <row r="33" spans="1:3" x14ac:dyDescent="0.25">
      <c r="A33" s="28" t="s">
        <v>42</v>
      </c>
      <c r="B33" s="33" t="s">
        <v>19</v>
      </c>
      <c r="C33" s="31">
        <v>4</v>
      </c>
    </row>
    <row r="34" spans="1:3" x14ac:dyDescent="0.25">
      <c r="A34" s="28" t="s">
        <v>43</v>
      </c>
      <c r="B34" s="33" t="s">
        <v>21</v>
      </c>
      <c r="C34" s="31">
        <v>4</v>
      </c>
    </row>
    <row r="35" spans="1:3" x14ac:dyDescent="0.25">
      <c r="A35" s="28" t="s">
        <v>44</v>
      </c>
      <c r="B35" s="33" t="s">
        <v>23</v>
      </c>
      <c r="C35" s="31">
        <v>2</v>
      </c>
    </row>
    <row r="36" spans="1:3" x14ac:dyDescent="0.25">
      <c r="A36" s="28" t="s">
        <v>45</v>
      </c>
      <c r="B36" s="33" t="s">
        <v>24</v>
      </c>
      <c r="C36" s="31">
        <v>5</v>
      </c>
    </row>
    <row r="37" spans="1:3" x14ac:dyDescent="0.25">
      <c r="A37" s="28" t="s">
        <v>46</v>
      </c>
      <c r="B37" s="33" t="s">
        <v>20</v>
      </c>
      <c r="C37" s="31">
        <v>4</v>
      </c>
    </row>
    <row r="39" spans="1:3" x14ac:dyDescent="0.25">
      <c r="A39" s="23" t="s">
        <v>62</v>
      </c>
    </row>
    <row r="40" spans="1:3" x14ac:dyDescent="0.25">
      <c r="A40" s="32" t="s">
        <v>16</v>
      </c>
      <c r="B40" s="11" t="s">
        <v>40</v>
      </c>
    </row>
    <row r="41" spans="1:3" x14ac:dyDescent="0.25">
      <c r="A41" s="33" t="s">
        <v>23</v>
      </c>
      <c r="B41" s="25">
        <v>262.5</v>
      </c>
    </row>
    <row r="42" spans="1:3" x14ac:dyDescent="0.25">
      <c r="A42" s="33" t="s">
        <v>19</v>
      </c>
      <c r="B42" s="25">
        <v>450</v>
      </c>
    </row>
    <row r="43" spans="1:3" x14ac:dyDescent="0.25">
      <c r="A43" s="33" t="s">
        <v>24</v>
      </c>
      <c r="B43" s="25">
        <v>375</v>
      </c>
    </row>
    <row r="44" spans="1:3" x14ac:dyDescent="0.25">
      <c r="A44" s="33" t="s">
        <v>20</v>
      </c>
      <c r="B44" s="25">
        <v>150</v>
      </c>
    </row>
    <row r="45" spans="1:3" x14ac:dyDescent="0.25">
      <c r="A45" s="33" t="s">
        <v>22</v>
      </c>
      <c r="B45" s="25">
        <v>300</v>
      </c>
    </row>
    <row r="46" spans="1:3" x14ac:dyDescent="0.25">
      <c r="A46" s="33" t="s">
        <v>21</v>
      </c>
      <c r="B46" s="25">
        <v>187.5</v>
      </c>
    </row>
  </sheetData>
  <autoFilter ref="A24:C37" xr:uid="{00000000-0001-0000-0200-000000000000}"/>
  <sortState xmlns:xlrd2="http://schemas.microsoft.com/office/spreadsheetml/2017/richdata2" ref="A24:C36">
    <sortCondition ref="A24:A36"/>
  </sortState>
  <conditionalFormatting sqref="A24:C37">
    <cfRule type="expression" dxfId="0" priority="1" stopIfTrue="1">
      <formula>$A24="G. Hoi"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40"/>
  <sheetViews>
    <sheetView zoomScale="115" zoomScaleNormal="115" workbookViewId="0">
      <selection activeCell="J23" sqref="J23"/>
    </sheetView>
  </sheetViews>
  <sheetFormatPr defaultColWidth="5.28515625" defaultRowHeight="15" x14ac:dyDescent="0.25"/>
  <cols>
    <col min="1" max="1" width="16.28515625" bestFit="1" customWidth="1"/>
    <col min="2" max="2" width="14.28515625" bestFit="1" customWidth="1"/>
    <col min="3" max="3" width="16.85546875" bestFit="1" customWidth="1"/>
    <col min="4" max="4" width="9.85546875" bestFit="1" customWidth="1"/>
    <col min="6" max="6" width="14.28515625" bestFit="1" customWidth="1"/>
    <col min="7" max="7" width="10.85546875" bestFit="1" customWidth="1"/>
    <col min="9" max="9" width="7.42578125" customWidth="1"/>
  </cols>
  <sheetData>
    <row r="1" spans="1:9" ht="18.75" x14ac:dyDescent="0.3">
      <c r="A1" s="1" t="s">
        <v>2</v>
      </c>
      <c r="B1" s="2"/>
      <c r="C1" s="3"/>
      <c r="D1" s="3"/>
      <c r="E1" s="3"/>
      <c r="F1" s="3"/>
      <c r="G1" s="3"/>
      <c r="H1" s="1"/>
      <c r="I1" s="2"/>
    </row>
    <row r="2" spans="1:9" x14ac:dyDescent="0.25">
      <c r="A2" s="4" t="s">
        <v>68</v>
      </c>
      <c r="B2" s="5"/>
      <c r="C2" s="5"/>
      <c r="D2" s="5"/>
      <c r="E2" s="5"/>
      <c r="F2" s="5"/>
      <c r="G2" s="5"/>
      <c r="H2" s="4"/>
      <c r="I2" s="5"/>
    </row>
    <row r="3" spans="1:9" x14ac:dyDescent="0.25">
      <c r="A3" s="4" t="s">
        <v>69</v>
      </c>
      <c r="B3" s="5"/>
      <c r="C3" s="5"/>
      <c r="D3" s="5"/>
      <c r="E3" s="5"/>
      <c r="F3" s="5"/>
      <c r="G3" s="5"/>
      <c r="H3" s="4"/>
      <c r="I3" s="5"/>
    </row>
    <row r="4" spans="1:9" x14ac:dyDescent="0.25">
      <c r="A4" s="6" t="s">
        <v>70</v>
      </c>
      <c r="B4" s="7"/>
      <c r="C4" s="7"/>
      <c r="D4" s="7"/>
      <c r="E4" s="7"/>
      <c r="F4" s="7"/>
      <c r="G4" s="7"/>
      <c r="H4" s="6"/>
      <c r="I4" s="7"/>
    </row>
    <row r="6" spans="1:9" x14ac:dyDescent="0.25">
      <c r="A6" s="17" t="s">
        <v>71</v>
      </c>
      <c r="B6" s="16"/>
      <c r="C6" s="16"/>
      <c r="D6" s="16"/>
      <c r="E6" s="16"/>
      <c r="F6" s="16"/>
      <c r="G6" s="16"/>
      <c r="H6" s="16"/>
      <c r="I6" s="16"/>
    </row>
    <row r="7" spans="1:9" x14ac:dyDescent="0.25">
      <c r="A7" s="20" t="s">
        <v>72</v>
      </c>
      <c r="B7" s="16"/>
      <c r="C7" s="16"/>
      <c r="D7" s="16"/>
      <c r="E7" s="16"/>
      <c r="F7" s="16"/>
      <c r="G7" s="16"/>
      <c r="H7" s="16"/>
      <c r="I7" s="16"/>
    </row>
    <row r="8" spans="1:9" x14ac:dyDescent="0.25">
      <c r="A8" s="20" t="s">
        <v>73</v>
      </c>
      <c r="B8" s="16"/>
      <c r="C8" s="16"/>
      <c r="D8" s="16"/>
      <c r="E8" s="16"/>
      <c r="F8" s="16"/>
      <c r="G8" s="16"/>
      <c r="H8" s="16"/>
      <c r="I8" s="16"/>
    </row>
    <row r="9" spans="1:9" x14ac:dyDescent="0.25">
      <c r="A9" s="20" t="s">
        <v>74</v>
      </c>
      <c r="B9" s="16"/>
      <c r="C9" s="16"/>
      <c r="D9" s="16"/>
      <c r="E9" s="16"/>
      <c r="F9" s="16"/>
      <c r="G9" s="16"/>
      <c r="H9" s="16"/>
      <c r="I9" s="16"/>
    </row>
    <row r="10" spans="1:9" x14ac:dyDescent="0.25">
      <c r="A10" s="20" t="s">
        <v>75</v>
      </c>
      <c r="B10" s="16"/>
      <c r="C10" s="16"/>
      <c r="D10" s="16"/>
      <c r="E10" s="16"/>
      <c r="F10" s="16"/>
      <c r="G10" s="16"/>
      <c r="H10" s="16"/>
      <c r="I10" s="16"/>
    </row>
    <row r="11" spans="1:9" x14ac:dyDescent="0.25">
      <c r="A11" s="20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 x14ac:dyDescent="0.25">
      <c r="A12" s="20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 x14ac:dyDescent="0.25">
      <c r="A13" s="20" t="s">
        <v>78</v>
      </c>
      <c r="B13" s="16"/>
      <c r="C13" s="16"/>
      <c r="D13" s="16"/>
      <c r="E13" s="16"/>
      <c r="F13" s="16"/>
      <c r="G13" s="16"/>
      <c r="H13" s="16"/>
      <c r="I13" s="16"/>
    </row>
    <row r="14" spans="1:9" x14ac:dyDescent="0.25">
      <c r="A14" s="20" t="s">
        <v>79</v>
      </c>
      <c r="B14" s="16"/>
      <c r="C14" s="16"/>
      <c r="D14" s="16"/>
      <c r="E14" s="16"/>
      <c r="F14" s="16"/>
      <c r="G14" s="16"/>
      <c r="H14" s="16"/>
      <c r="I14" s="16"/>
    </row>
    <row r="15" spans="1:9" x14ac:dyDescent="0.25">
      <c r="A15" s="20" t="s">
        <v>80</v>
      </c>
      <c r="B15" s="16"/>
      <c r="C15" s="16"/>
      <c r="D15" s="16"/>
      <c r="E15" s="16"/>
      <c r="F15" s="16"/>
      <c r="G15" s="16"/>
      <c r="H15" s="16"/>
      <c r="I15" s="16"/>
    </row>
    <row r="16" spans="1:9" x14ac:dyDescent="0.25">
      <c r="A16" s="20" t="s">
        <v>81</v>
      </c>
      <c r="B16" s="16"/>
      <c r="C16" s="16"/>
      <c r="D16" s="16"/>
      <c r="E16" s="16"/>
      <c r="F16" s="16"/>
      <c r="G16" s="16"/>
      <c r="H16" s="16"/>
      <c r="I16" s="16"/>
    </row>
    <row r="18" spans="1:7" x14ac:dyDescent="0.25">
      <c r="A18" s="23" t="s">
        <v>66</v>
      </c>
    </row>
    <row r="19" spans="1:7" x14ac:dyDescent="0.25">
      <c r="A19" s="32" t="s">
        <v>7</v>
      </c>
      <c r="B19" s="32" t="s">
        <v>16</v>
      </c>
      <c r="C19" s="11" t="s">
        <v>17</v>
      </c>
      <c r="D19" s="11" t="s">
        <v>18</v>
      </c>
      <c r="F19" s="32" t="s">
        <v>16</v>
      </c>
      <c r="G19" s="11" t="s">
        <v>40</v>
      </c>
    </row>
    <row r="20" spans="1:7" x14ac:dyDescent="0.25">
      <c r="A20" s="28" t="s">
        <v>11</v>
      </c>
      <c r="B20" s="33" t="s">
        <v>23</v>
      </c>
      <c r="C20" s="31">
        <v>3</v>
      </c>
      <c r="D20" s="25">
        <v>562.5</v>
      </c>
      <c r="F20" s="33" t="s">
        <v>23</v>
      </c>
      <c r="G20" s="25">
        <v>262.5</v>
      </c>
    </row>
    <row r="21" spans="1:7" x14ac:dyDescent="0.25">
      <c r="A21" s="28" t="s">
        <v>14</v>
      </c>
      <c r="B21" s="33" t="s">
        <v>23</v>
      </c>
      <c r="C21" s="31">
        <v>3</v>
      </c>
      <c r="D21" s="25">
        <v>562.5</v>
      </c>
      <c r="F21" s="33" t="s">
        <v>19</v>
      </c>
      <c r="G21" s="25">
        <v>450</v>
      </c>
    </row>
    <row r="22" spans="1:7" x14ac:dyDescent="0.25">
      <c r="A22" s="28" t="s">
        <v>9</v>
      </c>
      <c r="B22" s="33" t="s">
        <v>24</v>
      </c>
      <c r="C22" s="31">
        <v>1</v>
      </c>
      <c r="D22" s="25">
        <v>675</v>
      </c>
      <c r="F22" s="33" t="s">
        <v>24</v>
      </c>
      <c r="G22" s="25">
        <v>375</v>
      </c>
    </row>
    <row r="23" spans="1:7" x14ac:dyDescent="0.25">
      <c r="A23" s="28" t="s">
        <v>67</v>
      </c>
      <c r="B23" s="33" t="s">
        <v>23</v>
      </c>
      <c r="C23" s="31">
        <v>2</v>
      </c>
      <c r="D23" s="25">
        <v>462.5</v>
      </c>
      <c r="F23" s="33" t="s">
        <v>20</v>
      </c>
      <c r="G23" s="25">
        <v>150</v>
      </c>
    </row>
    <row r="24" spans="1:7" x14ac:dyDescent="0.25">
      <c r="A24" s="28" t="s">
        <v>82</v>
      </c>
      <c r="B24" s="33" t="s">
        <v>22</v>
      </c>
      <c r="C24" s="31">
        <v>4</v>
      </c>
      <c r="D24" s="25">
        <v>700</v>
      </c>
      <c r="F24" s="33" t="s">
        <v>22</v>
      </c>
      <c r="G24" s="25">
        <v>300</v>
      </c>
    </row>
    <row r="25" spans="1:7" x14ac:dyDescent="0.25">
      <c r="A25" s="28" t="s">
        <v>109</v>
      </c>
      <c r="B25" s="33" t="s">
        <v>23</v>
      </c>
      <c r="C25" s="31">
        <v>3</v>
      </c>
      <c r="D25" s="25">
        <v>562.5</v>
      </c>
      <c r="F25" s="33" t="s">
        <v>21</v>
      </c>
      <c r="G25" s="25">
        <v>187.5</v>
      </c>
    </row>
    <row r="26" spans="1:7" x14ac:dyDescent="0.25">
      <c r="A26" s="28" t="s">
        <v>110</v>
      </c>
      <c r="B26" s="33" t="s">
        <v>23</v>
      </c>
      <c r="C26" s="31">
        <v>2</v>
      </c>
      <c r="D26" s="25">
        <v>462.5</v>
      </c>
    </row>
    <row r="27" spans="1:7" x14ac:dyDescent="0.25">
      <c r="A27" s="28" t="s">
        <v>111</v>
      </c>
      <c r="B27" s="33" t="s">
        <v>22</v>
      </c>
      <c r="C27" s="31">
        <v>1</v>
      </c>
      <c r="D27" s="25">
        <v>400</v>
      </c>
    </row>
    <row r="28" spans="1:7" x14ac:dyDescent="0.25">
      <c r="A28" s="28"/>
      <c r="B28" s="33"/>
      <c r="C28" s="31"/>
      <c r="D28" s="25"/>
    </row>
    <row r="29" spans="1:7" x14ac:dyDescent="0.25">
      <c r="A29" s="28"/>
      <c r="B29" s="33"/>
      <c r="C29" s="31"/>
      <c r="D29" s="25"/>
    </row>
    <row r="30" spans="1:7" x14ac:dyDescent="0.25">
      <c r="A30" s="28"/>
      <c r="B30" s="33"/>
      <c r="C30" s="31"/>
      <c r="D30" s="25"/>
    </row>
    <row r="31" spans="1:7" x14ac:dyDescent="0.25">
      <c r="A31" s="28"/>
      <c r="B31" s="33"/>
      <c r="C31" s="31"/>
      <c r="D31" s="25"/>
    </row>
    <row r="32" spans="1:7" x14ac:dyDescent="0.25">
      <c r="A32" s="28"/>
      <c r="B32" s="33"/>
      <c r="C32" s="31"/>
      <c r="D32" s="25"/>
    </row>
    <row r="33" spans="1:4" x14ac:dyDescent="0.25">
      <c r="A33" s="28"/>
      <c r="B33" s="33"/>
      <c r="C33" s="31"/>
      <c r="D33" s="25"/>
    </row>
    <row r="34" spans="1:4" x14ac:dyDescent="0.25">
      <c r="A34" s="28"/>
      <c r="B34" s="33"/>
      <c r="C34" s="31"/>
      <c r="D34" s="25"/>
    </row>
    <row r="35" spans="1:4" x14ac:dyDescent="0.25">
      <c r="A35" s="28"/>
      <c r="B35" s="33"/>
      <c r="C35" s="31"/>
      <c r="D35" s="25"/>
    </row>
    <row r="36" spans="1:4" x14ac:dyDescent="0.25">
      <c r="A36" s="28"/>
      <c r="B36" s="33"/>
      <c r="C36" s="31"/>
      <c r="D36" s="25"/>
    </row>
    <row r="37" spans="1:4" x14ac:dyDescent="0.25">
      <c r="A37" s="28"/>
      <c r="B37" s="33"/>
      <c r="C37" s="31"/>
      <c r="D37" s="25"/>
    </row>
    <row r="38" spans="1:4" x14ac:dyDescent="0.25">
      <c r="A38" s="28"/>
      <c r="B38" s="33"/>
      <c r="C38" s="31"/>
      <c r="D38" s="25"/>
    </row>
    <row r="39" spans="1:4" x14ac:dyDescent="0.25">
      <c r="A39" s="28"/>
      <c r="B39" s="33"/>
      <c r="C39" s="31"/>
      <c r="D39" s="25"/>
    </row>
    <row r="40" spans="1:4" x14ac:dyDescent="0.25">
      <c r="A40" s="28"/>
      <c r="B40" s="33"/>
      <c r="C40" s="31"/>
      <c r="D40" s="25"/>
    </row>
  </sheetData>
  <conditionalFormatting sqref="L24">
    <cfRule type="expression" dxfId="16" priority="1" stopIfTrue="1">
      <formula>$A20 = Name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K39"/>
  <sheetViews>
    <sheetView topLeftCell="A6" zoomScale="115" zoomScaleNormal="115" workbookViewId="0">
      <selection activeCell="L31" sqref="L31"/>
    </sheetView>
  </sheetViews>
  <sheetFormatPr defaultColWidth="4.42578125" defaultRowHeight="15" x14ac:dyDescent="0.25"/>
  <cols>
    <col min="1" max="1" width="16.28515625" bestFit="1" customWidth="1"/>
    <col min="2" max="2" width="14.28515625" bestFit="1" customWidth="1"/>
    <col min="3" max="3" width="17" bestFit="1" customWidth="1"/>
    <col min="4" max="4" width="10.5703125" bestFit="1" customWidth="1"/>
    <col min="6" max="6" width="14.28515625" bestFit="1" customWidth="1"/>
    <col min="7" max="7" width="10.85546875" bestFit="1" customWidth="1"/>
  </cols>
  <sheetData>
    <row r="1" spans="1:11" ht="18.75" x14ac:dyDescent="0.3">
      <c r="A1" s="1" t="s">
        <v>3</v>
      </c>
      <c r="B1" s="2"/>
      <c r="C1" s="3"/>
      <c r="D1" s="3"/>
      <c r="E1" s="3"/>
      <c r="F1" s="3"/>
      <c r="G1" s="2"/>
      <c r="H1" s="3"/>
      <c r="I1" s="3"/>
      <c r="J1" s="1"/>
      <c r="K1" s="2"/>
    </row>
    <row r="2" spans="1:11" x14ac:dyDescent="0.25">
      <c r="A2" s="4" t="s">
        <v>83</v>
      </c>
      <c r="B2" s="5"/>
      <c r="C2" s="5"/>
      <c r="D2" s="5"/>
      <c r="E2" s="5"/>
      <c r="F2" s="5"/>
      <c r="G2" s="5"/>
      <c r="H2" s="5"/>
      <c r="I2" s="5"/>
      <c r="J2" s="4"/>
      <c r="K2" s="5"/>
    </row>
    <row r="3" spans="1:11" x14ac:dyDescent="0.25">
      <c r="A3" s="4" t="s">
        <v>84</v>
      </c>
      <c r="B3" s="5"/>
      <c r="C3" s="5"/>
      <c r="D3" s="5"/>
      <c r="E3" s="5"/>
      <c r="F3" s="5"/>
      <c r="G3" s="5"/>
      <c r="H3" s="5"/>
      <c r="I3" s="5"/>
      <c r="J3" s="4"/>
      <c r="K3" s="5"/>
    </row>
    <row r="4" spans="1:11" x14ac:dyDescent="0.25">
      <c r="A4" s="6" t="s">
        <v>70</v>
      </c>
      <c r="B4" s="7"/>
      <c r="C4" s="7"/>
      <c r="D4" s="7"/>
      <c r="E4" s="7"/>
      <c r="F4" s="7"/>
      <c r="G4" s="7"/>
      <c r="H4" s="7"/>
      <c r="I4" s="7"/>
      <c r="J4" s="6"/>
      <c r="K4" s="7"/>
    </row>
    <row r="6" spans="1:11" x14ac:dyDescent="0.25">
      <c r="A6" s="17" t="s">
        <v>85</v>
      </c>
      <c r="B6" s="20"/>
      <c r="C6" s="20"/>
      <c r="D6" s="20"/>
      <c r="E6" s="20"/>
      <c r="F6" s="20"/>
      <c r="G6" s="20"/>
      <c r="H6" s="20"/>
      <c r="I6" s="20"/>
      <c r="J6" s="20"/>
      <c r="K6" s="20"/>
    </row>
    <row r="7" spans="1:11" x14ac:dyDescent="0.25">
      <c r="A7" s="20" t="s">
        <v>86</v>
      </c>
      <c r="B7" s="20"/>
      <c r="C7" s="20"/>
      <c r="D7" s="20"/>
      <c r="E7" s="20"/>
      <c r="F7" s="20"/>
      <c r="G7" s="20"/>
      <c r="H7" s="20"/>
      <c r="I7" s="20"/>
      <c r="J7" s="20"/>
      <c r="K7" s="20"/>
    </row>
    <row r="8" spans="1:11" x14ac:dyDescent="0.25">
      <c r="A8" s="20" t="s">
        <v>87</v>
      </c>
      <c r="B8" s="20"/>
      <c r="C8" s="20"/>
      <c r="D8" s="20"/>
      <c r="E8" s="20"/>
      <c r="F8" s="20"/>
      <c r="G8" s="20"/>
      <c r="H8" s="20"/>
      <c r="I8" s="20"/>
      <c r="J8" s="20"/>
      <c r="K8" s="20"/>
    </row>
    <row r="9" spans="1:11" x14ac:dyDescent="0.25">
      <c r="A9" s="20" t="s">
        <v>88</v>
      </c>
      <c r="B9" s="20"/>
      <c r="C9" s="20"/>
      <c r="D9" s="20"/>
      <c r="E9" s="20"/>
      <c r="F9" s="20"/>
      <c r="G9" s="20"/>
      <c r="H9" s="20"/>
      <c r="I9" s="20"/>
      <c r="J9" s="20"/>
      <c r="K9" s="20"/>
    </row>
    <row r="10" spans="1:11" x14ac:dyDescent="0.25">
      <c r="A10" s="20" t="s">
        <v>89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</row>
    <row r="11" spans="1:11" x14ac:dyDescent="0.25">
      <c r="A11" s="20" t="s">
        <v>90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</row>
    <row r="12" spans="1:11" x14ac:dyDescent="0.25">
      <c r="A12" s="20" t="s">
        <v>91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</row>
    <row r="13" spans="1:11" x14ac:dyDescent="0.25">
      <c r="A13" s="20" t="s">
        <v>92</v>
      </c>
      <c r="B13" s="20"/>
      <c r="C13" s="20"/>
      <c r="D13" s="20"/>
      <c r="E13" s="20"/>
      <c r="F13" s="20"/>
      <c r="G13" s="20"/>
      <c r="H13" s="20"/>
      <c r="I13" s="20"/>
      <c r="J13" s="20"/>
      <c r="K13" s="20"/>
    </row>
    <row r="14" spans="1:11" x14ac:dyDescent="0.25">
      <c r="A14" s="20" t="s">
        <v>93</v>
      </c>
      <c r="B14" s="20"/>
      <c r="C14" s="20"/>
      <c r="D14" s="20"/>
      <c r="E14" s="20"/>
      <c r="F14" s="20"/>
      <c r="G14" s="20"/>
      <c r="H14" s="20"/>
      <c r="I14" s="20"/>
      <c r="J14" s="20"/>
      <c r="K14" s="20"/>
    </row>
    <row r="15" spans="1:11" x14ac:dyDescent="0.25">
      <c r="A15" s="20" t="s">
        <v>94</v>
      </c>
      <c r="B15" s="20"/>
      <c r="C15" s="20"/>
      <c r="D15" s="20"/>
      <c r="E15" s="20"/>
      <c r="F15" s="20"/>
      <c r="G15" s="20"/>
      <c r="H15" s="20"/>
      <c r="I15" s="20"/>
      <c r="J15" s="20"/>
      <c r="K15" s="20"/>
    </row>
    <row r="17" spans="1:7" x14ac:dyDescent="0.25">
      <c r="A17" s="23" t="s">
        <v>66</v>
      </c>
    </row>
    <row r="18" spans="1:7" x14ac:dyDescent="0.25">
      <c r="A18" s="32" t="s">
        <v>7</v>
      </c>
      <c r="B18" s="32" t="s">
        <v>16</v>
      </c>
      <c r="C18" s="11" t="s">
        <v>17</v>
      </c>
      <c r="D18" s="11" t="s">
        <v>18</v>
      </c>
      <c r="F18" s="32" t="s">
        <v>16</v>
      </c>
      <c r="G18" s="11" t="s">
        <v>40</v>
      </c>
    </row>
    <row r="19" spans="1:7" ht="18.75" x14ac:dyDescent="0.3">
      <c r="A19" s="49" t="s">
        <v>11</v>
      </c>
      <c r="B19" s="50" t="s">
        <v>23</v>
      </c>
      <c r="C19" s="67">
        <v>4</v>
      </c>
      <c r="D19" s="68">
        <v>662.5</v>
      </c>
      <c r="F19" s="33" t="s">
        <v>23</v>
      </c>
      <c r="G19" s="25">
        <v>262.5</v>
      </c>
    </row>
    <row r="20" spans="1:7" x14ac:dyDescent="0.25">
      <c r="A20" s="53" t="s">
        <v>14</v>
      </c>
      <c r="B20" s="54" t="s">
        <v>23</v>
      </c>
      <c r="C20" s="51">
        <v>2</v>
      </c>
      <c r="D20" s="52">
        <v>462.5</v>
      </c>
      <c r="F20" s="33" t="s">
        <v>19</v>
      </c>
      <c r="G20" s="25">
        <v>450</v>
      </c>
    </row>
    <row r="21" spans="1:7" x14ac:dyDescent="0.25">
      <c r="A21" s="53" t="s">
        <v>9</v>
      </c>
      <c r="B21" s="54" t="s">
        <v>24</v>
      </c>
      <c r="C21" s="51">
        <v>1</v>
      </c>
      <c r="D21" s="52">
        <v>675</v>
      </c>
      <c r="F21" s="33" t="s">
        <v>24</v>
      </c>
      <c r="G21" s="25">
        <v>375</v>
      </c>
    </row>
    <row r="22" spans="1:7" x14ac:dyDescent="0.25">
      <c r="A22" s="53" t="s">
        <v>67</v>
      </c>
      <c r="B22" s="54" t="s">
        <v>23</v>
      </c>
      <c r="C22" s="51">
        <v>2</v>
      </c>
      <c r="D22" s="52">
        <v>462.5</v>
      </c>
      <c r="F22" s="33" t="s">
        <v>20</v>
      </c>
      <c r="G22" s="25">
        <v>150</v>
      </c>
    </row>
    <row r="23" spans="1:7" x14ac:dyDescent="0.25">
      <c r="A23" s="53" t="s">
        <v>82</v>
      </c>
      <c r="B23" s="54" t="s">
        <v>22</v>
      </c>
      <c r="C23" s="51">
        <v>3</v>
      </c>
      <c r="D23" s="52">
        <v>600</v>
      </c>
      <c r="F23" s="33" t="s">
        <v>22</v>
      </c>
      <c r="G23" s="25">
        <v>300</v>
      </c>
    </row>
    <row r="24" spans="1:7" x14ac:dyDescent="0.25">
      <c r="A24" s="53"/>
      <c r="B24" s="54"/>
      <c r="C24" s="51"/>
      <c r="D24" s="52"/>
      <c r="F24" s="33" t="s">
        <v>21</v>
      </c>
      <c r="G24" s="25">
        <v>187.5</v>
      </c>
    </row>
    <row r="25" spans="1:7" x14ac:dyDescent="0.25">
      <c r="A25" s="55"/>
      <c r="B25" s="55"/>
      <c r="C25" s="56"/>
      <c r="D25" s="57"/>
    </row>
    <row r="26" spans="1:7" x14ac:dyDescent="0.25">
      <c r="A26" s="55"/>
      <c r="B26" s="55"/>
      <c r="C26" s="56"/>
      <c r="D26" s="57"/>
    </row>
    <row r="27" spans="1:7" x14ac:dyDescent="0.25">
      <c r="A27" s="55"/>
      <c r="B27" s="55"/>
      <c r="C27" s="56"/>
      <c r="D27" s="57"/>
    </row>
    <row r="28" spans="1:7" x14ac:dyDescent="0.25">
      <c r="A28" s="55"/>
      <c r="B28" s="55"/>
      <c r="C28" s="56"/>
      <c r="D28" s="57"/>
    </row>
    <row r="29" spans="1:7" x14ac:dyDescent="0.25">
      <c r="A29" s="55"/>
      <c r="B29" s="55"/>
      <c r="C29" s="56"/>
      <c r="D29" s="57"/>
    </row>
    <row r="30" spans="1:7" x14ac:dyDescent="0.25">
      <c r="A30" s="55"/>
      <c r="B30" s="55"/>
      <c r="C30" s="56"/>
      <c r="D30" s="57"/>
    </row>
    <row r="31" spans="1:7" x14ac:dyDescent="0.25">
      <c r="A31" s="55"/>
      <c r="B31" s="55"/>
      <c r="C31" s="56"/>
      <c r="D31" s="57"/>
    </row>
    <row r="32" spans="1:7" x14ac:dyDescent="0.25">
      <c r="A32" s="55"/>
      <c r="B32" s="55"/>
      <c r="C32" s="56"/>
      <c r="D32" s="57"/>
    </row>
    <row r="33" spans="1:4" x14ac:dyDescent="0.25">
      <c r="A33" s="55"/>
      <c r="B33" s="55"/>
      <c r="C33" s="56"/>
      <c r="D33" s="57"/>
    </row>
    <row r="34" spans="1:4" x14ac:dyDescent="0.25">
      <c r="A34" s="55"/>
      <c r="B34" s="55"/>
      <c r="C34" s="56"/>
      <c r="D34" s="57"/>
    </row>
    <row r="35" spans="1:4" x14ac:dyDescent="0.25">
      <c r="A35" s="55"/>
      <c r="B35" s="55"/>
      <c r="C35" s="56"/>
      <c r="D35" s="57"/>
    </row>
    <row r="36" spans="1:4" x14ac:dyDescent="0.25">
      <c r="A36" s="55"/>
      <c r="B36" s="55"/>
      <c r="C36" s="56"/>
      <c r="D36" s="57"/>
    </row>
    <row r="37" spans="1:4" x14ac:dyDescent="0.25">
      <c r="A37" s="55"/>
      <c r="B37" s="55"/>
      <c r="C37" s="56"/>
      <c r="D37" s="57"/>
    </row>
    <row r="38" spans="1:4" x14ac:dyDescent="0.25">
      <c r="A38" s="55"/>
      <c r="B38" s="55"/>
      <c r="C38" s="56"/>
      <c r="D38" s="57"/>
    </row>
    <row r="39" spans="1:4" x14ac:dyDescent="0.25">
      <c r="A39" s="55"/>
      <c r="B39" s="55"/>
      <c r="C39" s="56"/>
      <c r="D39" s="57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Documentation</vt:lpstr>
      <vt:lpstr>P5</vt:lpstr>
      <vt:lpstr>P6</vt:lpstr>
      <vt:lpstr>P7</vt:lpstr>
      <vt:lpstr>P8</vt:lpstr>
      <vt:lpstr>AStart</vt:lpstr>
      <vt:lpstr>Client</vt:lpstr>
      <vt:lpstr>ClientVals</vt:lpstr>
      <vt:lpstr>Cost</vt:lpstr>
      <vt:lpstr>DTable</vt:lpstr>
      <vt:lpstr>Employ</vt:lpstr>
      <vt:lpstr>EmployReport</vt:lpstr>
      <vt:lpstr>Employs</vt:lpstr>
      <vt:lpstr>EmployVals</vt:lpstr>
      <vt:lpstr>EStart</vt:lpstr>
      <vt:lpstr>FStart</vt:lpstr>
      <vt:lpstr>Night</vt:lpstr>
      <vt:lpstr>Nights</vt:lpstr>
      <vt:lpstr>PasteHere</vt:lpstr>
      <vt:lpstr>Report</vt:lpstr>
      <vt:lpstr>RStart</vt:lpstr>
      <vt:lpstr>RTStart</vt:lpstr>
      <vt:lpstr>RVals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Michelle Seref</dc:creator>
  <cp:lastModifiedBy>Zain Qadri</cp:lastModifiedBy>
  <dcterms:created xsi:type="dcterms:W3CDTF">2019-07-14T19:47:54Z</dcterms:created>
  <dcterms:modified xsi:type="dcterms:W3CDTF">2023-02-18T21:07:00Z</dcterms:modified>
</cp:coreProperties>
</file>