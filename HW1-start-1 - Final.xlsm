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zainq\Documents\BIT 3424\"/>
    </mc:Choice>
  </mc:AlternateContent>
  <xr:revisionPtr revIDLastSave="0" documentId="13_ncr:1_{35B9DE75-EBC8-4D62-AA6E-B6CBEB76F5F8}" xr6:coauthVersionLast="47" xr6:coauthVersionMax="47" xr10:uidLastSave="{00000000-0000-0000-0000-000000000000}"/>
  <bookViews>
    <workbookView xWindow="-120" yWindow="-120" windowWidth="29040" windowHeight="16440" activeTab="1" xr2:uid="{D505323F-AC25-4627-B749-0EC932500D5C}"/>
  </bookViews>
  <sheets>
    <sheet name="Documentation" sheetId="5" r:id="rId1"/>
    <sheet name="P1" sheetId="1" r:id="rId2"/>
    <sheet name="P2" sheetId="2" r:id="rId3"/>
    <sheet name="P3" sheetId="3" r:id="rId4"/>
    <sheet name="P4" sheetId="4" r:id="rId5"/>
  </sheets>
  <definedNames>
    <definedName name="Avg_Unit_Price">'P1'!$B$26:$B$37</definedName>
    <definedName name="CVS">'P1'!$B$15:$K$17</definedName>
    <definedName name="FoodLion">'P1'!$B$21:$K$23</definedName>
    <definedName name="Kroger">'P1'!$B$12:$K$14</definedName>
    <definedName name="Period_1">'P1'!$B$12:$B$23</definedName>
    <definedName name="Period_1_Tax">'P1'!$B$9</definedName>
    <definedName name="Period_10">'P1'!$K$12:$K$23</definedName>
    <definedName name="Period_10_Tax">'P1'!$K$9</definedName>
    <definedName name="Period_2">'P1'!$C$12:$C$23</definedName>
    <definedName name="Period_2_Tax">'P1'!$C$9</definedName>
    <definedName name="Period_3">'P1'!$D$12:$D$23</definedName>
    <definedName name="Period_3_Tax">'P1'!$D$9</definedName>
    <definedName name="Period_4">'P1'!$E$12:$E$23</definedName>
    <definedName name="Period_4_Tax">'P1'!$E$9</definedName>
    <definedName name="Period_5">'P1'!$F$12:$F$23</definedName>
    <definedName name="Period_5_Tax">'P1'!$F$9</definedName>
    <definedName name="Period_6">'P1'!$G$12:$G$23</definedName>
    <definedName name="Period_6_Tax">'P1'!$G$9</definedName>
    <definedName name="Period_7">'P1'!$H$12:$H$23</definedName>
    <definedName name="Period_7_Tax">'P1'!$H$9</definedName>
    <definedName name="Period_8">'P1'!$I$12:$I$23</definedName>
    <definedName name="Period_8_Tax">'P1'!$I$9</definedName>
    <definedName name="Period_9">'P1'!$J$12:$J$23</definedName>
    <definedName name="Period_9_Tax">'P1'!$J$9</definedName>
    <definedName name="Slicer_Store">#N/A</definedName>
    <definedName name="Slicer_Warehouse">#N/A</definedName>
    <definedName name="Walgreens">'P1'!$B$18:$K$20</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3" i="1" l="1"/>
  <c r="C43" i="1"/>
  <c r="D43" i="1"/>
  <c r="E43" i="1"/>
  <c r="F43" i="1"/>
  <c r="G43" i="1"/>
  <c r="H43" i="1"/>
  <c r="I43" i="1"/>
  <c r="J43" i="1"/>
  <c r="K43" i="1"/>
  <c r="B44" i="1"/>
  <c r="C44" i="1"/>
  <c r="D44" i="1"/>
  <c r="E44" i="1"/>
  <c r="F44" i="1"/>
  <c r="G44" i="1"/>
  <c r="H44" i="1"/>
  <c r="I44" i="1"/>
  <c r="J44" i="1"/>
  <c r="K44" i="1"/>
  <c r="B45" i="1"/>
  <c r="C45" i="1"/>
  <c r="D45" i="1"/>
  <c r="E45" i="1"/>
  <c r="F45" i="1"/>
  <c r="G45" i="1"/>
  <c r="H45" i="1"/>
  <c r="I45" i="1"/>
  <c r="J45" i="1"/>
  <c r="K45" i="1"/>
  <c r="B46" i="1"/>
  <c r="C46" i="1"/>
  <c r="D46" i="1"/>
  <c r="E46" i="1"/>
  <c r="F46" i="1"/>
  <c r="G46" i="1"/>
  <c r="H46" i="1"/>
  <c r="I46" i="1"/>
  <c r="J46" i="1"/>
  <c r="K46" i="1"/>
  <c r="B47" i="1"/>
  <c r="C47" i="1"/>
  <c r="D47" i="1"/>
  <c r="E47" i="1"/>
  <c r="F47" i="1"/>
  <c r="G47" i="1"/>
  <c r="H47" i="1"/>
  <c r="I47" i="1"/>
  <c r="J47" i="1"/>
  <c r="K47" i="1"/>
  <c r="B48" i="1"/>
  <c r="C48" i="1"/>
  <c r="D48" i="1"/>
  <c r="E48" i="1"/>
  <c r="F48" i="1"/>
  <c r="G48" i="1"/>
  <c r="H48" i="1"/>
  <c r="I48" i="1"/>
  <c r="J48" i="1"/>
  <c r="K48" i="1"/>
  <c r="B49" i="1"/>
  <c r="C49" i="1"/>
  <c r="D49" i="1"/>
  <c r="E49" i="1"/>
  <c r="F49" i="1"/>
  <c r="G49" i="1"/>
  <c r="H49" i="1"/>
  <c r="I49" i="1"/>
  <c r="J49" i="1"/>
  <c r="K49" i="1"/>
  <c r="B50" i="1"/>
  <c r="C50" i="1"/>
  <c r="D50" i="1"/>
  <c r="E50" i="1"/>
  <c r="F50" i="1"/>
  <c r="G50" i="1"/>
  <c r="H50" i="1"/>
  <c r="I50" i="1"/>
  <c r="J50" i="1"/>
  <c r="K50" i="1"/>
  <c r="B51" i="1"/>
  <c r="C51" i="1"/>
  <c r="D51" i="1"/>
  <c r="E51" i="1"/>
  <c r="F51" i="1"/>
  <c r="G51" i="1"/>
  <c r="H51" i="1"/>
  <c r="I51" i="1"/>
  <c r="J51" i="1"/>
  <c r="K51" i="1"/>
  <c r="B52" i="1"/>
  <c r="C52" i="1"/>
  <c r="D52" i="1"/>
  <c r="E52" i="1"/>
  <c r="F52" i="1"/>
  <c r="G52" i="1"/>
  <c r="H52" i="1"/>
  <c r="I52" i="1"/>
  <c r="J52" i="1"/>
  <c r="K52" i="1"/>
  <c r="B53" i="1"/>
  <c r="C53" i="1"/>
  <c r="D53" i="1"/>
  <c r="E53" i="1"/>
  <c r="F53" i="1"/>
  <c r="G53" i="1"/>
  <c r="H53" i="1"/>
  <c r="I53" i="1"/>
  <c r="J53" i="1"/>
  <c r="K53" i="1"/>
  <c r="C42" i="1"/>
  <c r="D42" i="1"/>
  <c r="E42" i="1"/>
  <c r="F42" i="1"/>
  <c r="G42" i="1"/>
  <c r="H42" i="1"/>
  <c r="I42" i="1"/>
  <c r="J42" i="1"/>
  <c r="K42" i="1"/>
  <c r="B42" i="1"/>
  <c r="L9" i="3"/>
  <c r="I17" i="3"/>
  <c r="B16" i="2"/>
  <c r="B17" i="2"/>
  <c r="B18" i="2"/>
  <c r="B19" i="2"/>
  <c r="B15" i="2"/>
  <c r="B70" i="1"/>
  <c r="A79" i="1" s="1"/>
  <c r="B69" i="1"/>
  <c r="A78" i="1" s="1"/>
  <c r="B68" i="1"/>
  <c r="A77" i="1" s="1"/>
  <c r="B26" i="2"/>
  <c r="A76" i="1"/>
  <c r="D8" i="4"/>
  <c r="F8" i="4"/>
  <c r="L11" i="4"/>
  <c r="L13" i="4"/>
  <c r="I9" i="3" l="1"/>
  <c r="A17" i="3"/>
  <c r="C17" i="3"/>
  <c r="A12" i="3" l="1"/>
  <c r="B8" i="3"/>
  <c r="A8" i="3" s="1"/>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36" i="2"/>
  <c r="G36" i="2"/>
  <c r="G37" i="2"/>
  <c r="G38" i="2"/>
  <c r="G39" i="2"/>
  <c r="G40" i="2"/>
  <c r="G41" i="2"/>
  <c r="G42" i="2"/>
  <c r="G43" i="2"/>
  <c r="G44" i="2"/>
  <c r="G45"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46" i="2"/>
  <c r="C26" i="2"/>
  <c r="D26" i="2"/>
  <c r="E26" i="2"/>
  <c r="F26" i="2"/>
  <c r="C27" i="2"/>
  <c r="D27" i="2"/>
  <c r="E27" i="2"/>
  <c r="F27" i="2"/>
  <c r="C28" i="2"/>
  <c r="D28" i="2"/>
  <c r="F28" i="2"/>
  <c r="C29" i="2"/>
  <c r="D29" i="2"/>
  <c r="E29" i="2"/>
  <c r="F29" i="2"/>
  <c r="C30" i="2"/>
  <c r="D30" i="2"/>
  <c r="E30" i="2"/>
  <c r="C31" i="2"/>
  <c r="D31" i="2"/>
  <c r="E31" i="2"/>
  <c r="F31" i="2"/>
  <c r="C32" i="2"/>
  <c r="D32" i="2"/>
  <c r="B28" i="2"/>
  <c r="B29" i="2"/>
  <c r="B30" i="2"/>
  <c r="B32" i="2"/>
  <c r="B22" i="2"/>
  <c r="C101" i="1" l="1"/>
  <c r="D101" i="1"/>
  <c r="E101" i="1"/>
  <c r="F101" i="1"/>
  <c r="G101" i="1"/>
  <c r="H101" i="1"/>
  <c r="I101" i="1"/>
  <c r="J101" i="1"/>
  <c r="K101" i="1"/>
  <c r="B101" i="1"/>
  <c r="C100" i="1"/>
  <c r="D100" i="1"/>
  <c r="E100" i="1"/>
  <c r="F100" i="1"/>
  <c r="G100" i="1"/>
  <c r="H100" i="1"/>
  <c r="I100" i="1"/>
  <c r="J100" i="1"/>
  <c r="K100" i="1"/>
  <c r="B100" i="1"/>
  <c r="C85" i="1"/>
  <c r="C86" i="1"/>
  <c r="C87" i="1"/>
  <c r="C88" i="1"/>
  <c r="C89" i="1"/>
  <c r="C90" i="1"/>
  <c r="C91" i="1"/>
  <c r="C92" i="1"/>
  <c r="C93" i="1"/>
  <c r="C94" i="1"/>
  <c r="C95" i="1"/>
  <c r="C84" i="1"/>
  <c r="B86" i="1"/>
  <c r="B94" i="1"/>
  <c r="B93" i="1"/>
  <c r="B88" i="1"/>
  <c r="B85" i="1"/>
  <c r="B87" i="1"/>
  <c r="B89" i="1"/>
  <c r="B90" i="1"/>
  <c r="B91" i="1"/>
  <c r="B92" i="1"/>
  <c r="B95" i="1"/>
  <c r="B84" i="1"/>
  <c r="B67" i="1"/>
  <c r="D70" i="1"/>
  <c r="C70" i="1"/>
  <c r="D69" i="1"/>
  <c r="C69" i="1"/>
  <c r="D68" i="1"/>
  <c r="C68" i="1"/>
  <c r="K58" i="1" a="1"/>
  <c r="K58" i="1" s="1"/>
  <c r="J58" i="1" a="1"/>
  <c r="J58" i="1" s="1"/>
  <c r="I58" i="1" a="1"/>
  <c r="I58" i="1" s="1"/>
  <c r="H58" i="1" a="1"/>
  <c r="H58" i="1" s="1"/>
  <c r="G58" i="1" a="1"/>
  <c r="G58" i="1" s="1"/>
  <c r="F58" i="1" a="1"/>
  <c r="F58" i="1" s="1"/>
  <c r="E58" i="1" a="1"/>
  <c r="E58" i="1" s="1"/>
  <c r="D58" i="1" a="1"/>
  <c r="D58" i="1" s="1"/>
  <c r="C58" i="1" a="1"/>
  <c r="C58" i="1" s="1"/>
  <c r="B58" i="1" a="1"/>
  <c r="B58" i="1" s="1"/>
  <c r="D67" i="1"/>
  <c r="C6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<sst xmlns="http://schemas.openxmlformats.org/spreadsheetml/2006/main" count="740" uniqueCount="196">
  <si>
    <t>Practice 1</t>
  </si>
  <si>
    <t>Periods</t>
  </si>
  <si>
    <t>Period-1</t>
  </si>
  <si>
    <t>Period-2</t>
  </si>
  <si>
    <t>Period-3</t>
  </si>
  <si>
    <t>Period-4</t>
  </si>
  <si>
    <t>Period-5</t>
  </si>
  <si>
    <t>Period-6</t>
  </si>
  <si>
    <t>Period-7</t>
  </si>
  <si>
    <t>Period-8</t>
  </si>
  <si>
    <t>Period-9</t>
  </si>
  <si>
    <t>Period-10</t>
  </si>
  <si>
    <t>Start Date</t>
  </si>
  <si>
    <t>End Date</t>
  </si>
  <si>
    <t>Tax Rate</t>
  </si>
  <si>
    <t>Pharmacy Sales</t>
  </si>
  <si>
    <t>Kroger-BM1</t>
  </si>
  <si>
    <t>Kroger-BU2</t>
  </si>
  <si>
    <t>Kroger-CM3</t>
  </si>
  <si>
    <t>CVS-BM1</t>
  </si>
  <si>
    <t>CVS-BU2</t>
  </si>
  <si>
    <t>CVS-CM3</t>
  </si>
  <si>
    <t>Walgreens-CM1</t>
  </si>
  <si>
    <t>Walgreens-CD2</t>
  </si>
  <si>
    <t>Walgreens-CD3</t>
  </si>
  <si>
    <t>FoodLion-BN1</t>
  </si>
  <si>
    <t>FoodLion-BP2</t>
  </si>
  <si>
    <t>FoodLion-CD3</t>
  </si>
  <si>
    <t>Stores</t>
  </si>
  <si>
    <t>Avg Unit Price</t>
  </si>
  <si>
    <t>Address</t>
  </si>
  <si>
    <t>123 Main St//Bburg-VA</t>
  </si>
  <si>
    <t>456 University Ave//Bburg-VA</t>
  </si>
  <si>
    <t>987 Central Ave//Cburg-VA</t>
  </si>
  <si>
    <t>1357 Main St//Bburg-VA</t>
  </si>
  <si>
    <t>2468 University Ave//Bburg-VA</t>
  </si>
  <si>
    <t>9753 City St//Cburg-VA</t>
  </si>
  <si>
    <t>654 City St//Cburg-VA</t>
  </si>
  <si>
    <t>432 Busy St//Cburg-VA</t>
  </si>
  <si>
    <t>789 Main St//Cburg-VA</t>
  </si>
  <si>
    <t>8642 New St//Bburg-VA</t>
  </si>
  <si>
    <t>2837 Price Ave//Bburg-VA</t>
  </si>
  <si>
    <t>4756 Busy St//Cburg-VA</t>
  </si>
  <si>
    <t>Revenue after Taxes</t>
  </si>
  <si>
    <t>Total Taxes</t>
  </si>
  <si>
    <t>Store Group</t>
  </si>
  <si>
    <t>Average Sales</t>
  </si>
  <si>
    <t>Min Sales</t>
  </si>
  <si>
    <t>Max Sales</t>
  </si>
  <si>
    <t>Kroger</t>
  </si>
  <si>
    <t>CVS</t>
  </si>
  <si>
    <t>Walgreens</t>
  </si>
  <si>
    <t>FoodLion</t>
  </si>
  <si>
    <t>Report Output</t>
  </si>
  <si>
    <t>Street Name</t>
  </si>
  <si>
    <t>City</t>
  </si>
  <si>
    <t>Weeks</t>
  </si>
  <si>
    <t>Months</t>
  </si>
  <si>
    <t>(format should be "Kroger: Average Sales = 123; Min Sales = 123; Max Sales = 123" with values from store group report table)</t>
  </si>
  <si>
    <t>Customer Orders</t>
  </si>
  <si>
    <t>Customer Name</t>
  </si>
  <si>
    <t>Contact Info</t>
  </si>
  <si>
    <t>Product</t>
  </si>
  <si>
    <t>Quantity</t>
  </si>
  <si>
    <t>Order Date</t>
  </si>
  <si>
    <t>K. Livingston</t>
  </si>
  <si>
    <t>J. Kingston</t>
  </si>
  <si>
    <t>M. Neilson</t>
  </si>
  <si>
    <t>T. Unigo</t>
  </si>
  <si>
    <t>Y. Zeenith</t>
  </si>
  <si>
    <t>B. Chesterfield</t>
  </si>
  <si>
    <t>S. Tavshan</t>
  </si>
  <si>
    <t>D. Everest</t>
  </si>
  <si>
    <t>E. Frankfort</t>
  </si>
  <si>
    <t>H. Ignacio</t>
  </si>
  <si>
    <t>I. Jameston</t>
  </si>
  <si>
    <t>N. O'Donnal</t>
  </si>
  <si>
    <t>F. Gugenheim</t>
  </si>
  <si>
    <t>P. Qui</t>
  </si>
  <si>
    <t>R. Sawali</t>
  </si>
  <si>
    <t>W. Yeeshoo</t>
  </si>
  <si>
    <t>Q. Ronaldo</t>
  </si>
  <si>
    <t>L. Morris</t>
  </si>
  <si>
    <t>V. Wu</t>
  </si>
  <si>
    <t>C. Dovestail</t>
  </si>
  <si>
    <t>O. Peterson</t>
  </si>
  <si>
    <t>A. Baker</t>
  </si>
  <si>
    <t>G. Hernandez</t>
  </si>
  <si>
    <t>tshirt</t>
  </si>
  <si>
    <t>notebook</t>
  </si>
  <si>
    <t>mug</t>
  </si>
  <si>
    <t>pencils</t>
  </si>
  <si>
    <t>highlighters</t>
  </si>
  <si>
    <t>Monday</t>
  </si>
  <si>
    <t>Tuesday</t>
  </si>
  <si>
    <t>Wednesday</t>
  </si>
  <si>
    <t>Thursday</t>
  </si>
  <si>
    <t>Friday</t>
  </si>
  <si>
    <t>Saturday</t>
  </si>
  <si>
    <t>Sunday</t>
  </si>
  <si>
    <t>Order Day</t>
  </si>
  <si>
    <t>Weekend Order?</t>
  </si>
  <si>
    <t>Sunday Large?</t>
  </si>
  <si>
    <t>#4: If weekend order, note as "weekend" otherwise leave blank.</t>
  </si>
  <si>
    <t>#5: Calculate total order quantity for each product</t>
  </si>
  <si>
    <t>Practice 2</t>
  </si>
  <si>
    <t>Practice 3</t>
  </si>
  <si>
    <t>#7: Calculate average order quantity for each product on each day (if calculation error, write 0)</t>
  </si>
  <si>
    <t>Total Order Quantity</t>
  </si>
  <si>
    <t>% Weekend Orders</t>
  </si>
  <si>
    <t>#3: If LARGE order (greater than average) placed on Sunday, note with "***" otherwise leave blank.</t>
  </si>
  <si>
    <t>Avg Order Quantity</t>
  </si>
  <si>
    <t>Shipping Cost</t>
  </si>
  <si>
    <t>#4: Write a VLOOKUP or HLOOKUP function to dynamically find the</t>
  </si>
  <si>
    <t>shipping cost from the report table given product name and order day</t>
  </si>
  <si>
    <t>#6: Use an OFFSET or INDEX function to find which product has the</t>
  </si>
  <si>
    <t>highest shipping cost on Wednesday?</t>
  </si>
  <si>
    <t>#5: Highlight the given product name col, order day row, and cost value</t>
  </si>
  <si>
    <t>Practice 4</t>
  </si>
  <si>
    <t>Warehouse</t>
  </si>
  <si>
    <t>Amount Shipped</t>
  </si>
  <si>
    <t>Store</t>
  </si>
  <si>
    <t>Amount Sold</t>
  </si>
  <si>
    <t>Sales Price</t>
  </si>
  <si>
    <t>Remaining Inventory</t>
  </si>
  <si>
    <t>Holding Cost</t>
  </si>
  <si>
    <t>chips</t>
  </si>
  <si>
    <t>CornerTown</t>
  </si>
  <si>
    <t>BuyStop</t>
  </si>
  <si>
    <t>FameCity</t>
  </si>
  <si>
    <t>BreakPoint</t>
  </si>
  <si>
    <t>Smallville</t>
  </si>
  <si>
    <t>MidWay</t>
  </si>
  <si>
    <t>coke bottles</t>
  </si>
  <si>
    <t>Sodaburg</t>
  </si>
  <si>
    <t>gummy candy</t>
  </si>
  <si>
    <t>juice bottles</t>
  </si>
  <si>
    <t>peanuts</t>
  </si>
  <si>
    <t>water bottles</t>
  </si>
  <si>
    <t>chocolate bars</t>
  </si>
  <si>
    <t>#1: Create an Excel Table; sort by store then by amount sold (greatest first); filter for all beverages; filter for amount sold &gt; average</t>
  </si>
  <si>
    <t>#2: What is the minimum amound sold in this filtered table?</t>
  </si>
  <si>
    <t>Min Amount Sold Above Average</t>
  </si>
  <si>
    <t>show subtotals at bottom of group; change value setting to show max of amount shipped</t>
  </si>
  <si>
    <t>#4: Create new field "TotalShipCost" = amount shipped * shipping cost; remove amount shipped field from pivot table</t>
  </si>
  <si>
    <t>#3: Create a pivot table comparing amount shipped from each warehouse (rows1) of each product (rows2) to each store (cols1)</t>
  </si>
  <si>
    <t>#5: Create clustered column pivot chart; add slicers for warehouse and store; filter to show CornerTown, Smallville, BuyStop, and MidWay only</t>
  </si>
  <si>
    <t>7 questions</t>
  </si>
  <si>
    <t>Perform pharmacy sales analytics for twelve local stores over ten periods.</t>
  </si>
  <si>
    <t>Individual store prices and addresses are given. Ddifferent tax rates per period are given.</t>
  </si>
  <si>
    <t>Analyze product sales. For each order, customer name, contact info are given.</t>
  </si>
  <si>
    <t>Product and order quantity as well as order date and day of week are given.</t>
  </si>
  <si>
    <t>6 questions</t>
  </si>
  <si>
    <t>Analyze products shipped from warehouse to store and amount sold at each store.</t>
  </si>
  <si>
    <t>Product, warehouse, amount shipped, shipping cost, store name, amount sold at store, and sales price are given.</t>
  </si>
  <si>
    <t>5 questions</t>
  </si>
  <si>
    <t>BIT 3424</t>
  </si>
  <si>
    <t>Dr. Şeref</t>
  </si>
  <si>
    <t>Student Name:</t>
  </si>
  <si>
    <t>Unique File ID:</t>
  </si>
  <si>
    <t>First Open:</t>
  </si>
  <si>
    <t>Honor Policy:</t>
  </si>
  <si>
    <t>I swear to uphold the Virginia Tech Honor Policy (as specified in the course syllabus).</t>
  </si>
  <si>
    <t>I will not copy another student's file.</t>
  </si>
  <si>
    <t>I will not share my file with another student.</t>
  </si>
  <si>
    <t>Student Initial:</t>
  </si>
  <si>
    <t>#2: Calculate total taxes per period over all stores (round 2 decimal points) = sum (unit price * sales) * tax rate</t>
  </si>
  <si>
    <t>#3: Name each period sales column, the store unit price column, and the period tax rate row</t>
  </si>
  <si>
    <t>Update formula for total taxes per period (#2) to show these range names</t>
  </si>
  <si>
    <t>#4: Name rows in sales table based on store groups (ex: first three rows of sales values = "Kroger")</t>
  </si>
  <si>
    <t>Calculate the store group report using these range names (round down average sales to a whole number) (should write one formula for each column then drag down)</t>
  </si>
  <si>
    <t>#1: Calculate revenue after taxes per store per period = (unit price * sales) * (1- tax rate) (should write one formula then drag over and down)</t>
  </si>
  <si>
    <t>#5: Write sentences summarizing each store's comparative results (use a formula to reference the store group report table, write one formula then drag down)</t>
  </si>
  <si>
    <t>#6: Find street name and city name for each individual store (use text functions)</t>
  </si>
  <si>
    <t>#7: Calculate number of weeks, months per period (use date functions)</t>
  </si>
  <si>
    <t>#1: Highlight table rows for given product name</t>
  </si>
  <si>
    <t>#2: Highlight product name and order quantity if LARGE order (greater than average order quantity).</t>
  </si>
  <si>
    <t>#6: Calculate percentage of orders placed on the weekend = number of weekend orders / number of orders</t>
  </si>
  <si>
    <t>#1: (Dfunction) How many customers placed a LARGE order (greater than average)?</t>
  </si>
  <si>
    <t>#2: (Dfunction) What was the total number of highlighters ordered on the weekend?</t>
  </si>
  <si>
    <t>#3: (Dfunction) Who placed the largest order on a Friday?</t>
  </si>
  <si>
    <t>(using three conditional formatting rules)</t>
  </si>
  <si>
    <t>Zain Qadri</t>
  </si>
  <si>
    <t>done</t>
  </si>
  <si>
    <t>ZQ</t>
  </si>
  <si>
    <t>highlighter</t>
  </si>
  <si>
    <t>Copy/Paste Filtered Table</t>
  </si>
  <si>
    <t>Average</t>
  </si>
  <si>
    <t>Whole Table</t>
  </si>
  <si>
    <t>Row Labels</t>
  </si>
  <si>
    <t>Grand Total</t>
  </si>
  <si>
    <t>Column Labels</t>
  </si>
  <si>
    <t>Sum of TotalShipCost</t>
  </si>
  <si>
    <t>CornerTown Total</t>
  </si>
  <si>
    <t>Smallville Total</t>
  </si>
  <si>
    <t>or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</si>
</sst>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yy;@"/>
    <numFmt numFmtId="165" formatCode="&quot;$&quot;#,##0.00"/>
    <numFmt numFmtId="166" formatCode="[&lt;=9999999]###\-####;\(###\)\ ###\-####"/>
  </numFmts>
  <fonts count="18"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1"/>
      <color theme="1"/>
      <name val="Calibri"/>
      <family val="2"/>
      <scheme val="minor"/>
    </font>
    <font>
      <sz val="8"/>
      <name val="Calibri"/>
      <family val="2"/>
      <scheme val="minor"/>
    </font>
    <font>
      <b/>
      <sz val="11"/>
      <name val="Calibri"/>
      <family val="2"/>
      <scheme val="minor"/>
    </font>
    <font>
      <sz val="10"/>
      <name val="Arial"/>
      <family val="2"/>
    </font>
    <font>
      <b/>
      <sz val="16"/>
      <name val="Arial"/>
      <family val="2"/>
    </font>
    <font>
      <sz val="12"/>
      <name val="Arial"/>
      <family val="2"/>
    </font>
    <font>
      <b/>
      <sz val="12"/>
      <name val="Arial"/>
      <family val="2"/>
    </font>
    <font>
      <sz val="12"/>
      <color theme="3"/>
      <name val="Arial"/>
      <family val="2"/>
    </font>
    <font>
      <i/>
      <sz val="12"/>
      <name val="Arial"/>
      <family val="2"/>
    </font>
    <font>
      <b/>
      <i/>
      <sz val="12"/>
      <color theme="5" tint="0.39997558519241921"/>
      <name val="Arial"/>
      <family val="2"/>
    </font>
    <font>
      <sz val="12"/>
      <color theme="5" tint="0.39997558519241921"/>
      <name val="Arial"/>
      <family val="2"/>
    </font>
    <font>
      <i/>
      <sz val="12"/>
      <color theme="5" tint="0.39997558519241921"/>
      <name val="Arial"/>
      <family val="2"/>
    </font>
    <font>
      <sz val="12"/>
      <color theme="0" tint="-0.34998626667073579"/>
      <name val="Arial"/>
      <family val="2"/>
    </font>
  </fonts>
  <fills count="17">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3">
    <xf numFmtId="0" fontId="0" fillId="0" borderId="0"/>
    <xf numFmtId="9" fontId="1" fillId="0" borderId="0" applyFont="0" applyFill="0" applyBorder="0" applyAlignment="0" applyProtection="0"/>
    <xf numFmtId="0" fontId="8" fillId="0" borderId="0"/>
  </cellStyleXfs>
  <cellXfs count="100">
    <xf numFmtId="0" fontId="0" fillId="0" borderId="0" xfId="0"/>
    <xf numFmtId="0" fontId="2" fillId="0" borderId="0" xfId="0" applyFont="1" applyAlignment="1">
      <alignment horizontal="right"/>
    </xf>
    <xf numFmtId="0" fontId="3" fillId="2" borderId="1" xfId="0" applyFont="1" applyFill="1" applyBorder="1" applyAlignment="1">
      <alignment horizontal="center"/>
    </xf>
    <xf numFmtId="0" fontId="3" fillId="3" borderId="1" xfId="0" applyFont="1" applyFill="1" applyBorder="1" applyAlignment="1">
      <alignment horizontal="right"/>
    </xf>
    <xf numFmtId="164" fontId="0" fillId="4" borderId="1" xfId="0" applyNumberFormat="1" applyFill="1" applyBorder="1" applyAlignment="1">
      <alignment horizontal="center"/>
    </xf>
    <xf numFmtId="164" fontId="0" fillId="4" borderId="1" xfId="0" applyNumberFormat="1" applyFill="1" applyBorder="1"/>
    <xf numFmtId="0" fontId="3" fillId="5" borderId="1" xfId="0" applyFont="1" applyFill="1" applyBorder="1" applyAlignment="1">
      <alignment horizontal="right"/>
    </xf>
    <xf numFmtId="10" fontId="0" fillId="4" borderId="1" xfId="1" applyNumberFormat="1" applyFont="1" applyFill="1" applyBorder="1" applyAlignment="1">
      <alignment horizontal="center"/>
    </xf>
    <xf numFmtId="0" fontId="2" fillId="0" borderId="0" xfId="0" applyFont="1"/>
    <xf numFmtId="0" fontId="3" fillId="6" borderId="1" xfId="0" applyFont="1" applyFill="1" applyBorder="1" applyAlignment="1">
      <alignment horizontal="right"/>
    </xf>
    <xf numFmtId="0" fontId="0" fillId="4" borderId="1" xfId="0" applyFill="1" applyBorder="1" applyAlignment="1">
      <alignment horizontal="center"/>
    </xf>
    <xf numFmtId="0" fontId="3" fillId="6" borderId="2" xfId="0" applyFont="1" applyFill="1" applyBorder="1" applyAlignment="1">
      <alignment horizontal="right"/>
    </xf>
    <xf numFmtId="0" fontId="3" fillId="5" borderId="0" xfId="0" applyFont="1" applyFill="1"/>
    <xf numFmtId="0" fontId="3" fillId="7" borderId="0" xfId="0" applyFont="1" applyFill="1"/>
    <xf numFmtId="165" fontId="0" fillId="4" borderId="1" xfId="0" applyNumberFormat="1" applyFill="1" applyBorder="1" applyAlignment="1">
      <alignment horizontal="center"/>
    </xf>
    <xf numFmtId="0" fontId="0" fillId="4" borderId="1" xfId="0" applyFill="1" applyBorder="1"/>
    <xf numFmtId="165" fontId="0" fillId="4" borderId="2" xfId="0" applyNumberFormat="1" applyFill="1" applyBorder="1" applyAlignment="1">
      <alignment horizontal="center"/>
    </xf>
    <xf numFmtId="0" fontId="0" fillId="4" borderId="2" xfId="0" applyFill="1" applyBorder="1"/>
    <xf numFmtId="0" fontId="2" fillId="8" borderId="0" xfId="0" applyFont="1" applyFill="1" applyAlignment="1">
      <alignment horizontal="right"/>
    </xf>
    <xf numFmtId="165" fontId="0" fillId="0" borderId="1" xfId="0" applyNumberFormat="1" applyBorder="1" applyAlignment="1">
      <alignment horizontal="center"/>
    </xf>
    <xf numFmtId="0" fontId="2" fillId="8" borderId="1" xfId="0" applyFont="1" applyFill="1" applyBorder="1" applyAlignment="1">
      <alignment horizontal="center"/>
    </xf>
    <xf numFmtId="0" fontId="3" fillId="9" borderId="1" xfId="0" applyFont="1" applyFill="1" applyBorder="1" applyAlignment="1">
      <alignment horizontal="right"/>
    </xf>
    <xf numFmtId="0" fontId="0" fillId="0" borderId="1" xfId="0" applyBorder="1" applyAlignment="1">
      <alignment horizontal="center"/>
    </xf>
    <xf numFmtId="0" fontId="0" fillId="8" borderId="3" xfId="0" applyFill="1" applyBorder="1"/>
    <xf numFmtId="0" fontId="0" fillId="8" borderId="4" xfId="0" applyFill="1" applyBorder="1"/>
    <xf numFmtId="0" fontId="0" fillId="8" borderId="5" xfId="0" applyFill="1" applyBorder="1"/>
    <xf numFmtId="0" fontId="0" fillId="8" borderId="7" xfId="0" applyFill="1" applyBorder="1"/>
    <xf numFmtId="0" fontId="0" fillId="8" borderId="8" xfId="0" applyFill="1" applyBorder="1"/>
    <xf numFmtId="0" fontId="0" fillId="8" borderId="9" xfId="0" applyFill="1" applyBorder="1"/>
    <xf numFmtId="0" fontId="2" fillId="8" borderId="1" xfId="0" applyFont="1" applyFill="1" applyBorder="1"/>
    <xf numFmtId="0" fontId="3" fillId="6" borderId="10" xfId="0" applyFont="1" applyFill="1" applyBorder="1" applyAlignment="1">
      <alignment horizontal="right"/>
    </xf>
    <xf numFmtId="0" fontId="0" fillId="0" borderId="1" xfId="0" applyBorder="1"/>
    <xf numFmtId="0" fontId="3" fillId="6" borderId="6" xfId="0" applyFont="1" applyFill="1" applyBorder="1" applyAlignment="1">
      <alignment horizontal="right"/>
    </xf>
    <xf numFmtId="0" fontId="0" fillId="0" borderId="0" xfId="0" applyAlignment="1">
      <alignment horizontal="right"/>
    </xf>
    <xf numFmtId="0" fontId="2" fillId="8" borderId="1" xfId="0" applyFont="1" applyFill="1" applyBorder="1" applyAlignment="1">
      <alignment horizontal="right"/>
    </xf>
    <xf numFmtId="2" fontId="0" fillId="0" borderId="1" xfId="0" applyNumberFormat="1" applyBorder="1" applyAlignment="1">
      <alignment horizontal="center"/>
    </xf>
    <xf numFmtId="0" fontId="0" fillId="4" borderId="0" xfId="0" applyFill="1"/>
    <xf numFmtId="0" fontId="5" fillId="4" borderId="0" xfId="0" applyFont="1" applyFill="1"/>
    <xf numFmtId="0" fontId="0" fillId="8" borderId="0" xfId="0" applyFill="1"/>
    <xf numFmtId="0" fontId="2" fillId="0" borderId="0" xfId="0" applyFont="1" applyAlignment="1">
      <alignment horizontal="left"/>
    </xf>
    <xf numFmtId="0" fontId="0" fillId="0" borderId="0" xfId="0" applyAlignment="1">
      <alignment horizontal="center"/>
    </xf>
    <xf numFmtId="0" fontId="3" fillId="2" borderId="1" xfId="0" applyFont="1" applyFill="1" applyBorder="1" applyAlignment="1">
      <alignment horizontal="left"/>
    </xf>
    <xf numFmtId="0" fontId="3" fillId="2" borderId="1" xfId="0" applyFont="1" applyFill="1" applyBorder="1" applyAlignment="1">
      <alignment horizontal="right"/>
    </xf>
    <xf numFmtId="0" fontId="0" fillId="10" borderId="1" xfId="0" applyFill="1" applyBorder="1"/>
    <xf numFmtId="166" fontId="0" fillId="10" borderId="1" xfId="0" applyNumberFormat="1" applyFill="1" applyBorder="1" applyAlignment="1">
      <alignment horizontal="center"/>
    </xf>
    <xf numFmtId="0" fontId="0" fillId="10" borderId="1" xfId="0" applyFill="1" applyBorder="1" applyAlignment="1">
      <alignment horizontal="center"/>
    </xf>
    <xf numFmtId="14" fontId="0" fillId="10" borderId="1" xfId="0" applyNumberFormat="1" applyFill="1" applyBorder="1"/>
    <xf numFmtId="0" fontId="0" fillId="4" borderId="0" xfId="0" applyFill="1" applyAlignment="1">
      <alignment horizontal="center"/>
    </xf>
    <xf numFmtId="0" fontId="5" fillId="0" borderId="0" xfId="0" applyFont="1"/>
    <xf numFmtId="9" fontId="0" fillId="0" borderId="1" xfId="1" applyFont="1" applyFill="1" applyBorder="1" applyAlignment="1">
      <alignment horizontal="center"/>
    </xf>
    <xf numFmtId="0" fontId="2" fillId="8" borderId="0" xfId="0" applyFont="1" applyFill="1" applyAlignment="1">
      <alignment horizontal="center"/>
    </xf>
    <xf numFmtId="14" fontId="0" fillId="10" borderId="1" xfId="0" applyNumberFormat="1" applyFill="1" applyBorder="1" applyAlignment="1">
      <alignment horizontal="center"/>
    </xf>
    <xf numFmtId="14" fontId="0" fillId="0" borderId="1" xfId="0" applyNumberFormat="1" applyBorder="1" applyAlignment="1">
      <alignment horizontal="center"/>
    </xf>
    <xf numFmtId="0" fontId="3" fillId="8" borderId="1" xfId="0" applyFont="1" applyFill="1" applyBorder="1" applyAlignment="1">
      <alignment horizontal="center"/>
    </xf>
    <xf numFmtId="0" fontId="4" fillId="12" borderId="8" xfId="0" applyFont="1" applyFill="1" applyBorder="1"/>
    <xf numFmtId="0" fontId="0" fillId="12" borderId="8" xfId="0" applyFill="1" applyBorder="1" applyAlignment="1">
      <alignment horizontal="center"/>
    </xf>
    <xf numFmtId="0" fontId="0" fillId="12" borderId="8" xfId="0" applyFill="1" applyBorder="1"/>
    <xf numFmtId="0" fontId="2" fillId="13" borderId="0" xfId="0" applyFont="1" applyFill="1"/>
    <xf numFmtId="0" fontId="0" fillId="13" borderId="0" xfId="0" applyFill="1"/>
    <xf numFmtId="0" fontId="5" fillId="13" borderId="4" xfId="0" applyFont="1" applyFill="1" applyBorder="1"/>
    <xf numFmtId="0" fontId="0" fillId="13" borderId="4"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0" borderId="3" xfId="0" applyBorder="1" applyAlignment="1">
      <alignment horizontal="center"/>
    </xf>
    <xf numFmtId="165" fontId="0" fillId="0" borderId="3" xfId="0" applyNumberFormat="1" applyBorder="1" applyAlignment="1">
      <alignment horizontal="center"/>
    </xf>
    <xf numFmtId="0" fontId="9" fillId="14" borderId="0" xfId="2" applyFont="1" applyFill="1"/>
    <xf numFmtId="0" fontId="10" fillId="14" borderId="0" xfId="2" applyFont="1" applyFill="1"/>
    <xf numFmtId="0" fontId="11" fillId="14" borderId="0" xfId="2" applyFont="1" applyFill="1"/>
    <xf numFmtId="0" fontId="13" fillId="16" borderId="0" xfId="2" applyFont="1" applyFill="1" applyAlignment="1">
      <alignment horizontal="left"/>
    </xf>
    <xf numFmtId="0" fontId="14" fillId="14" borderId="0" xfId="2" applyFont="1" applyFill="1"/>
    <xf numFmtId="0" fontId="15" fillId="14" borderId="0" xfId="2" applyFont="1" applyFill="1"/>
    <xf numFmtId="0" fontId="16" fillId="14" borderId="0" xfId="2" applyFont="1" applyFill="1" applyAlignment="1">
      <alignment horizontal="left"/>
    </xf>
    <xf numFmtId="0" fontId="17" fillId="14" borderId="0" xfId="2" applyFont="1" applyFill="1"/>
    <xf numFmtId="0" fontId="13" fillId="14" borderId="0" xfId="2" applyFont="1" applyFill="1"/>
    <xf numFmtId="0" fontId="12" fillId="15" borderId="1" xfId="2" applyFont="1" applyFill="1" applyBorder="1" applyAlignment="1" applyProtection="1">
      <alignment horizontal="left"/>
      <protection locked="0"/>
    </xf>
    <xf numFmtId="1" fontId="0" fillId="0" borderId="1" xfId="0" applyNumberFormat="1" applyBorder="1" applyAlignment="1">
      <alignment horizontal="center"/>
    </xf>
    <xf numFmtId="0" fontId="0" fillId="11" borderId="4" xfId="0" applyFill="1" applyBorder="1" applyAlignment="1">
      <alignment horizontal="center"/>
    </xf>
    <xf numFmtId="0" fontId="0" fillId="0" borderId="4" xfId="0" applyBorder="1" applyAlignment="1">
      <alignment horizontal="center"/>
    </xf>
    <xf numFmtId="0" fontId="7" fillId="3" borderId="0" xfId="0" applyFont="1" applyFill="1" applyAlignment="1">
      <alignment horizontal="center"/>
    </xf>
    <xf numFmtId="0" fontId="7" fillId="3" borderId="6" xfId="0" applyFont="1" applyFill="1" applyBorder="1" applyAlignment="1">
      <alignment horizontal="center"/>
    </xf>
    <xf numFmtId="0" fontId="0" fillId="0" borderId="12" xfId="0" applyBorder="1"/>
    <xf numFmtId="0" fontId="0" fillId="0" borderId="2" xfId="0" applyBorder="1"/>
    <xf numFmtId="0" fontId="0" fillId="0" borderId="14" xfId="0" applyBorder="1"/>
    <xf numFmtId="0" fontId="0" fillId="0" borderId="0" xfId="0" pivotButton="1"/>
    <xf numFmtId="0" fontId="0" fillId="0" borderId="0" xfId="0" applyAlignment="1">
      <alignment horizontal="left"/>
    </xf>
    <xf numFmtId="0" fontId="0" fillId="0" borderId="0" xfId="0" applyAlignment="1">
      <alignment horizontal="left" indent="1"/>
    </xf>
    <xf numFmtId="0" fontId="7" fillId="3" borderId="15" xfId="0" applyFont="1" applyFill="1" applyBorder="1" applyAlignment="1">
      <alignment horizontal="center"/>
    </xf>
    <xf numFmtId="0" fontId="7" fillId="3" borderId="16" xfId="0" applyFont="1" applyFill="1" applyBorder="1" applyAlignment="1">
      <alignment horizontal="center"/>
    </xf>
    <xf numFmtId="0" fontId="0" fillId="11" borderId="15" xfId="0" applyFill="1" applyBorder="1" applyAlignment="1">
      <alignment horizontal="center"/>
    </xf>
    <xf numFmtId="165" fontId="0" fillId="11" borderId="15" xfId="0" applyNumberFormat="1" applyFill="1" applyBorder="1" applyAlignment="1">
      <alignment horizontal="center"/>
    </xf>
    <xf numFmtId="165" fontId="0" fillId="11" borderId="16" xfId="0" applyNumberFormat="1" applyFill="1" applyBorder="1" applyAlignment="1">
      <alignment horizontal="center"/>
    </xf>
    <xf numFmtId="0" fontId="0" fillId="11" borderId="10" xfId="0" applyFill="1" applyBorder="1" applyAlignment="1">
      <alignment horizontal="center"/>
    </xf>
    <xf numFmtId="165" fontId="0" fillId="11" borderId="10" xfId="0" applyNumberFormat="1" applyFill="1" applyBorder="1" applyAlignment="1">
      <alignment horizontal="center"/>
    </xf>
    <xf numFmtId="165" fontId="0" fillId="11" borderId="1" xfId="0" applyNumberFormat="1" applyFill="1" applyBorder="1" applyAlignment="1">
      <alignment horizontal="center"/>
    </xf>
    <xf numFmtId="0" fontId="12" fillId="15" borderId="10" xfId="2" applyFont="1" applyFill="1" applyBorder="1" applyAlignment="1" applyProtection="1">
      <alignment horizontal="left"/>
      <protection locked="0"/>
    </xf>
    <xf numFmtId="0" fontId="12" fillId="15" borderId="13" xfId="2" applyFont="1" applyFill="1" applyBorder="1" applyAlignment="1" applyProtection="1">
      <alignment horizontal="left"/>
      <protection locked="0"/>
    </xf>
    <xf numFmtId="0" fontId="12" fillId="15" borderId="11" xfId="2" applyFont="1" applyFill="1" applyBorder="1" applyAlignment="1" applyProtection="1">
      <alignment horizontal="left"/>
      <protection locked="0"/>
    </xf>
    <xf numFmtId="0" fontId="2" fillId="8" borderId="8" xfId="0" applyFont="1" applyFill="1" applyBorder="1" applyAlignment="1">
      <alignment horizontal="right"/>
    </xf>
    <xf numFmtId="0" fontId="7" fillId="8" borderId="6" xfId="0" applyFont="1" applyFill="1" applyBorder="1" applyAlignment="1">
      <alignment horizontal="right"/>
    </xf>
    <xf numFmtId="0" fontId="7" fillId="8" borderId="0" xfId="0" applyFont="1" applyFill="1" applyAlignment="1">
      <alignment horizontal="right"/>
    </xf>
  </cellXfs>
  <cellStyles count="3">
    <cellStyle name="Normal" xfId="0" builtinId="0"/>
    <cellStyle name="Normal 2" xfId="2" xr:uid="{38492EC5-EC62-4432-BC19-A2F4FC7A968E}"/>
    <cellStyle name="Percent" xfId="1" builtinId="5"/>
  </cellStyles>
  <dxfs count="17">
    <dxf>
      <numFmt numFmtId="165"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numFmt numFmtId="165"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numFmt numFmtId="165"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4" tint="0.59999389629810485"/>
        </patternFill>
      </fill>
      <alignment horizontal="center" vertical="bottom" textRotation="0" wrapText="0" indent="0" justifyLastLine="0" shrinkToFit="0" readingOrder="0"/>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[HW1-start-1 - Copy.xlsm]P4!PivotTable2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'P4'!$B$46:$B$47</c:f>
              <c:strCache>
                <c:ptCount val="1"/>
                <c:pt idx="0">
                  <c:v>BuyStop</c:v>
                </c:pt>
              </c:strCache>
            </c:strRef>
          </c:tx>
          <c:spPr>
            <a:solidFill>
              <a:schemeClr val="accent1"/>
            </a:solidFill>
            <a:ln>
              <a:noFill/>
            </a:ln>
            <a:effectLst/>
          </c:spPr>
          <c:invertIfNegative val="0"/>
          <c:cat>
            <c:multiLvlStrRef>
              <c:f>'P4'!$A$48:$A$60</c:f>
              <c:multiLvlStrCache>
                <c:ptCount val="8"/>
                <c:lvl>
                  <c:pt idx="0">
                    <c:v>chips</c:v>
                  </c:pt>
                  <c:pt idx="1">
                    <c:v>chocolate bars</c:v>
                  </c:pt>
                  <c:pt idx="2">
                    <c:v>gummy candy</c:v>
                  </c:pt>
                  <c:pt idx="3">
                    <c:v>chips</c:v>
                  </c:pt>
                  <c:pt idx="4">
                    <c:v>chocolate bars</c:v>
                  </c:pt>
                  <c:pt idx="5">
                    <c:v>coke bottles</c:v>
                  </c:pt>
                  <c:pt idx="6">
                    <c:v>peanuts</c:v>
                  </c:pt>
                  <c:pt idx="7">
                    <c:v>water bottles</c:v>
                  </c:pt>
                </c:lvl>
                <c:lvl>
                  <c:pt idx="0">
                    <c:v>CornerTown</c:v>
                  </c:pt>
                  <c:pt idx="3">
                    <c:v>Smallville</c:v>
                  </c:pt>
                </c:lvl>
              </c:multiLvlStrCache>
            </c:multiLvlStrRef>
          </c:cat>
          <c:val>
            <c:numRef>
              <c:f>'P4'!$B$48:$B$60</c:f>
              <c:numCache>
                <c:formatCode>General</c:formatCode>
                <c:ptCount val="8"/>
                <c:pt idx="0">
                  <c:v>1329.77</c:v>
                </c:pt>
                <c:pt idx="1">
                  <c:v>1036.2</c:v>
                </c:pt>
                <c:pt idx="2">
                  <c:v>0</c:v>
                </c:pt>
                <c:pt idx="3">
                  <c:v>0</c:v>
                </c:pt>
                <c:pt idx="4">
                  <c:v>0</c:v>
                </c:pt>
                <c:pt idx="5">
                  <c:v>493.5</c:v>
                </c:pt>
                <c:pt idx="6">
                  <c:v>1148.1000000000001</c:v>
                </c:pt>
                <c:pt idx="7">
                  <c:v>0</c:v>
                </c:pt>
              </c:numCache>
            </c:numRef>
          </c:val>
          <c:extLst>
            <c:ext xmlns:c16="http://schemas.microsoft.com/office/drawing/2014/chart" uri="{C3380CC4-5D6E-409C-BE32-E72D297353CC}">
              <c16:uniqueId val="{00000000-6CC6-40B2-8F0C-23B9BA4A79EC}"/>
            </c:ext>
          </c:extLst>
        </c:ser>
        <c:ser>
          <c:idx val="1"/>
          <c:order val="1"/>
          <c:tx>
            <c:strRef>
              <c:f>'P4'!$C$46:$C$47</c:f>
              <c:strCache>
                <c:ptCount val="1"/>
                <c:pt idx="0">
                  <c:v>MidWay</c:v>
                </c:pt>
              </c:strCache>
            </c:strRef>
          </c:tx>
          <c:spPr>
            <a:solidFill>
              <a:schemeClr val="accent2"/>
            </a:solidFill>
            <a:ln>
              <a:noFill/>
            </a:ln>
            <a:effectLst/>
          </c:spPr>
          <c:invertIfNegative val="0"/>
          <c:cat>
            <c:multiLvlStrRef>
              <c:f>'P4'!$A$48:$A$60</c:f>
              <c:multiLvlStrCache>
                <c:ptCount val="8"/>
                <c:lvl>
                  <c:pt idx="0">
                    <c:v>chips</c:v>
                  </c:pt>
                  <c:pt idx="1">
                    <c:v>chocolate bars</c:v>
                  </c:pt>
                  <c:pt idx="2">
                    <c:v>gummy candy</c:v>
                  </c:pt>
                  <c:pt idx="3">
                    <c:v>chips</c:v>
                  </c:pt>
                  <c:pt idx="4">
                    <c:v>chocolate bars</c:v>
                  </c:pt>
                  <c:pt idx="5">
                    <c:v>coke bottles</c:v>
                  </c:pt>
                  <c:pt idx="6">
                    <c:v>peanuts</c:v>
                  </c:pt>
                  <c:pt idx="7">
                    <c:v>water bottles</c:v>
                  </c:pt>
                </c:lvl>
                <c:lvl>
                  <c:pt idx="0">
                    <c:v>CornerTown</c:v>
                  </c:pt>
                  <c:pt idx="3">
                    <c:v>Smallville</c:v>
                  </c:pt>
                </c:lvl>
              </c:multiLvlStrCache>
            </c:multiLvlStrRef>
          </c:cat>
          <c:val>
            <c:numRef>
              <c:f>'P4'!$C$48:$C$60</c:f>
              <c:numCache>
                <c:formatCode>General</c:formatCode>
                <c:ptCount val="8"/>
                <c:pt idx="0">
                  <c:v>0</c:v>
                </c:pt>
                <c:pt idx="1">
                  <c:v>0</c:v>
                </c:pt>
                <c:pt idx="2">
                  <c:v>367.03000000000003</c:v>
                </c:pt>
                <c:pt idx="3">
                  <c:v>1994.3600000000001</c:v>
                </c:pt>
                <c:pt idx="4">
                  <c:v>557.76</c:v>
                </c:pt>
                <c:pt idx="5">
                  <c:v>0</c:v>
                </c:pt>
                <c:pt idx="6">
                  <c:v>0</c:v>
                </c:pt>
                <c:pt idx="7">
                  <c:v>744.5100000000001</c:v>
                </c:pt>
              </c:numCache>
            </c:numRef>
          </c:val>
          <c:extLst>
            <c:ext xmlns:c16="http://schemas.microsoft.com/office/drawing/2014/chart" uri="{C3380CC4-5D6E-409C-BE32-E72D297353CC}">
              <c16:uniqueId val="{00000006-6CC6-40B2-8F0C-23B9BA4A79EC}"/>
            </c:ext>
          </c:extLst>
        </c:ser>
        <c:dLbls>
          <c:showLegendKey val="0"/>
          <c:showVal val="0"/>
          <c:showCatName val="0"/>
          <c:showSerName val="0"/>
          <c:showPercent val="0"/>
          <c:showBubbleSize val="0"/>
        </c:dLbls>
        <c:gapWidth val="219"/>
        <c:overlap val="-27"/>
        <c:axId val="1836779328"/>
        <c:axId val="1836780992"/>
      </c:barChart>
      <c:catAx>
        <c:axId val="1836779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6780992"/>
        <c:crosses val="autoZero"/>
        <c:auto val="1"/>
        <c:lblAlgn val="ctr"/>
        <c:lblOffset val="100"/>
        <c:noMultiLvlLbl val="0"/>
      </c:catAx>
      <c:valAx>
        <c:axId val="1836780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6779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352425</xdr:colOff>
      <xdr:row>45</xdr:row>
      <xdr:rowOff>0</xdr:rowOff>
    </xdr:from>
    <xdr:to>
      <xdr:col>8</xdr:col>
      <xdr:colOff>209550</xdr:colOff>
      <xdr:row>59</xdr:row>
      <xdr:rowOff>76200</xdr:rowOff>
    </xdr:to>
    <xdr:graphicFrame macro="">
      <xdr:nvGraphicFramePr>
        <xdr:cNvPr id="2" name="Chart 1">
          <a:extLst>
            <a:ext uri="{FF2B5EF4-FFF2-40B4-BE49-F238E27FC236}">
              <a16:creationId xmlns:a16="http://schemas.microsoft.com/office/drawing/2014/main" id="{AE4B9763-8C5E-FFB6-2E97-7316400C6A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781050</xdr:colOff>
      <xdr:row>59</xdr:row>
      <xdr:rowOff>152400</xdr:rowOff>
    </xdr:from>
    <xdr:to>
      <xdr:col>6</xdr:col>
      <xdr:colOff>1085850</xdr:colOff>
      <xdr:row>73</xdr:row>
      <xdr:rowOff>9525</xdr:rowOff>
    </xdr:to>
    <mc:AlternateContent xmlns:mc="http://schemas.openxmlformats.org/markup-compatibility/2006" xmlns:a14="http://schemas.microsoft.com/office/drawing/2010/main">
      <mc:Choice Requires="a14">
        <xdr:graphicFrame macro="">
          <xdr:nvGraphicFramePr>
            <xdr:cNvPr id="3" name="Warehouse">
              <a:extLst>
                <a:ext uri="{FF2B5EF4-FFF2-40B4-BE49-F238E27FC236}">
                  <a16:creationId xmlns:a16="http://schemas.microsoft.com/office/drawing/2014/main" id="{E0E56E74-DCC9-7D89-FE90-063715E781FA}"/>
                </a:ext>
              </a:extLst>
            </xdr:cNvPr>
            <xdr:cNvGraphicFramePr/>
          </xdr:nvGraphicFramePr>
          <xdr:xfrm>
            <a:off x="0" y="0"/>
            <a:ext cx="0" cy="0"/>
          </xdr:xfrm>
          <a:graphic>
            <a:graphicData uri="http://schemas.microsoft.com/office/drawing/2010/slicer">
              <sle:slicer xmlns:sle="http://schemas.microsoft.com/office/drawing/2010/slicer" name="Warehouse"/>
            </a:graphicData>
          </a:graphic>
        </xdr:graphicFrame>
      </mc:Choice>
      <mc:Fallback xmlns="">
        <xdr:sp macro="" textlink="">
          <xdr:nvSpPr>
            <xdr:cNvPr id="0" name=""/>
            <xdr:cNvSpPr>
              <a:spLocks noTextEdit="1"/>
            </xdr:cNvSpPr>
          </xdr:nvSpPr>
          <xdr:spPr>
            <a:xfrm>
              <a:off x="5276850" y="8201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104775</xdr:colOff>
      <xdr:row>60</xdr:row>
      <xdr:rowOff>9525</xdr:rowOff>
    </xdr:from>
    <xdr:to>
      <xdr:col>8</xdr:col>
      <xdr:colOff>76200</xdr:colOff>
      <xdr:row>73</xdr:row>
      <xdr:rowOff>57150</xdr:rowOff>
    </xdr:to>
    <mc:AlternateContent xmlns:mc="http://schemas.openxmlformats.org/markup-compatibility/2006" xmlns:a14="http://schemas.microsoft.com/office/drawing/2010/main">
      <mc:Choice Requires="a14">
        <xdr:graphicFrame macro="">
          <xdr:nvGraphicFramePr>
            <xdr:cNvPr id="4" name="Store">
              <a:extLst>
                <a:ext uri="{FF2B5EF4-FFF2-40B4-BE49-F238E27FC236}">
                  <a16:creationId xmlns:a16="http://schemas.microsoft.com/office/drawing/2014/main" id="{1F7D76B3-182D-6313-0C5D-5C56F5B0B233}"/>
                </a:ext>
              </a:extLst>
            </xdr:cNvPr>
            <xdr:cNvGraphicFramePr/>
          </xdr:nvGraphicFramePr>
          <xdr:xfrm>
            <a:off x="0" y="0"/>
            <a:ext cx="0" cy="0"/>
          </xdr:xfrm>
          <a:graphic>
            <a:graphicData uri="http://schemas.microsoft.com/office/drawing/2010/slicer">
              <sle:slicer xmlns:sle="http://schemas.microsoft.com/office/drawing/2010/slicer" name="Store"/>
            </a:graphicData>
          </a:graphic>
        </xdr:graphicFrame>
      </mc:Choice>
      <mc:Fallback xmlns="">
        <xdr:sp macro="" textlink="">
          <xdr:nvSpPr>
            <xdr:cNvPr id="0" name=""/>
            <xdr:cNvSpPr>
              <a:spLocks noTextEdit="1"/>
            </xdr:cNvSpPr>
          </xdr:nvSpPr>
          <xdr:spPr>
            <a:xfrm>
              <a:off x="7458075" y="8248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in Qadri" refreshedDate="44958.753278124997" createdVersion="8" refreshedVersion="8" minRefreshableVersion="3" recordCount="21" xr:uid="{2E17D02D-876C-4242-970D-1DEE8FE99BA7}">
  <cacheSource type="worksheet">
    <worksheetSource name="Table1"/>
  </cacheSource>
  <cacheFields count="10">
    <cacheField name="Product" numFmtId="0">
      <sharedItems count="7">
        <s v="water bottles"/>
        <s v="chips"/>
        <s v="gummy candy"/>
        <s v="peanuts"/>
        <s v="coke bottles"/>
        <s v="juice bottles"/>
        <s v="chocolate bars"/>
      </sharedItems>
    </cacheField>
    <cacheField name="Warehouse" numFmtId="0">
      <sharedItems count="4">
        <s v="Smallville"/>
        <s v="FameCity"/>
        <s v="CornerTown"/>
        <s v="Sodaburg"/>
      </sharedItems>
    </cacheField>
    <cacheField name="Amount Shipped" numFmtId="0">
      <sharedItems containsSemiMixedTypes="0" containsString="0" containsNumber="1" containsInteger="1" minValue="59" maxValue="299"/>
    </cacheField>
    <cacheField name="Shipping Cost" numFmtId="165">
      <sharedItems containsSemiMixedTypes="0" containsString="0" containsNumber="1" minValue="2.0099999999999998" maxValue="6.92"/>
    </cacheField>
    <cacheField name="Store" numFmtId="0">
      <sharedItems count="3">
        <s v="MidWay"/>
        <s v="BreakPoint"/>
        <s v="BuyStop"/>
      </sharedItems>
    </cacheField>
    <cacheField name="Amount Sold" numFmtId="0">
      <sharedItems containsSemiMixedTypes="0" containsString="0" containsNumber="1" containsInteger="1" minValue="38" maxValue="292"/>
    </cacheField>
    <cacheField name="Sales Price" numFmtId="165">
      <sharedItems containsSemiMixedTypes="0" containsString="0" containsNumber="1" minValue="4.2" maxValue="12.88"/>
    </cacheField>
    <cacheField name="Remaining Inventory" numFmtId="0">
      <sharedItems containsSemiMixedTypes="0" containsString="0" containsNumber="1" containsInteger="1" minValue="2" maxValue="111"/>
    </cacheField>
    <cacheField name="Holding Cost" numFmtId="165">
      <sharedItems containsSemiMixedTypes="0" containsString="0" containsNumber="1" minValue="0.41" maxValue="5.85"/>
    </cacheField>
    <cacheField name="TotalShipCost" numFmtId="0" formula="'Amount Shipped'*'Shipping Cost'" databaseField="0"/>
  </cacheFields>
  <extLst>
    <ext xmlns:x14="http://schemas.microsoft.com/office/spreadsheetml/2009/9/main" uri="{725AE2AE-9491-48be-B2B4-4EB974FC3084}">
      <x14:pivotCacheDefinition pivotCacheId="14220793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x v="0"/>
    <n v="299"/>
    <n v="2.4900000000000002"/>
    <x v="0"/>
    <n v="292"/>
    <n v="4.66"/>
    <n v="7"/>
    <n v="1.91"/>
  </r>
  <r>
    <x v="1"/>
    <x v="0"/>
    <n v="292"/>
    <n v="6.83"/>
    <x v="0"/>
    <n v="262"/>
    <n v="10.64"/>
    <n v="20"/>
    <n v="3.17"/>
  </r>
  <r>
    <x v="0"/>
    <x v="1"/>
    <n v="209"/>
    <n v="2.0099999999999998"/>
    <x v="1"/>
    <n v="207"/>
    <n v="4.2"/>
    <n v="2"/>
    <n v="0.56000000000000005"/>
  </r>
  <r>
    <x v="2"/>
    <x v="0"/>
    <n v="274"/>
    <n v="5.13"/>
    <x v="1"/>
    <n v="202"/>
    <n v="9.0399999999999991"/>
    <n v="72"/>
    <n v="0.41"/>
  </r>
  <r>
    <x v="3"/>
    <x v="0"/>
    <n v="258"/>
    <n v="4.45"/>
    <x v="2"/>
    <n v="168"/>
    <n v="10.57"/>
    <n v="90"/>
    <n v="3.02"/>
  </r>
  <r>
    <x v="1"/>
    <x v="2"/>
    <n v="193"/>
    <n v="6.89"/>
    <x v="2"/>
    <n v="166"/>
    <n v="11.42"/>
    <n v="27"/>
    <n v="2.6"/>
  </r>
  <r>
    <x v="1"/>
    <x v="1"/>
    <n v="275"/>
    <n v="3.07"/>
    <x v="1"/>
    <n v="164"/>
    <n v="6.87"/>
    <n v="111"/>
    <n v="0.83"/>
  </r>
  <r>
    <x v="2"/>
    <x v="1"/>
    <n v="238"/>
    <n v="5.08"/>
    <x v="2"/>
    <n v="164"/>
    <n v="11.7"/>
    <n v="74"/>
    <n v="4.79"/>
  </r>
  <r>
    <x v="4"/>
    <x v="3"/>
    <n v="211"/>
    <n v="4.8"/>
    <x v="1"/>
    <n v="159"/>
    <n v="9.4499999999999993"/>
    <n v="52"/>
    <n v="2.77"/>
  </r>
  <r>
    <x v="5"/>
    <x v="0"/>
    <n v="175"/>
    <n v="5.01"/>
    <x v="1"/>
    <n v="143"/>
    <n v="9.43"/>
    <n v="32"/>
    <n v="4.54"/>
  </r>
  <r>
    <x v="6"/>
    <x v="2"/>
    <n v="157"/>
    <n v="6.6"/>
    <x v="2"/>
    <n v="142"/>
    <n v="10.77"/>
    <n v="15"/>
    <n v="1.56"/>
  </r>
  <r>
    <x v="4"/>
    <x v="0"/>
    <n v="150"/>
    <n v="3.29"/>
    <x v="2"/>
    <n v="136"/>
    <n v="6.25"/>
    <n v="14"/>
    <n v="1.76"/>
  </r>
  <r>
    <x v="5"/>
    <x v="1"/>
    <n v="196"/>
    <n v="3.91"/>
    <x v="2"/>
    <n v="98"/>
    <n v="11.5"/>
    <n v="98"/>
    <n v="2.54"/>
  </r>
  <r>
    <x v="3"/>
    <x v="1"/>
    <n v="169"/>
    <n v="2.7"/>
    <x v="0"/>
    <n v="95"/>
    <n v="8.5399999999999991"/>
    <n v="74"/>
    <n v="1.56"/>
  </r>
  <r>
    <x v="6"/>
    <x v="1"/>
    <n v="118"/>
    <n v="4.4000000000000004"/>
    <x v="1"/>
    <n v="93"/>
    <n v="8.4"/>
    <n v="25"/>
    <n v="5.85"/>
  </r>
  <r>
    <x v="6"/>
    <x v="0"/>
    <n v="112"/>
    <n v="4.9800000000000004"/>
    <x v="0"/>
    <n v="89"/>
    <n v="7.78"/>
    <n v="23"/>
    <n v="1.21"/>
  </r>
  <r>
    <x v="0"/>
    <x v="3"/>
    <n v="104"/>
    <n v="2.91"/>
    <x v="2"/>
    <n v="77"/>
    <n v="4.2300000000000004"/>
    <n v="27"/>
    <n v="0.49"/>
  </r>
  <r>
    <x v="3"/>
    <x v="2"/>
    <n v="162"/>
    <n v="3.54"/>
    <x v="1"/>
    <n v="73"/>
    <n v="12.88"/>
    <n v="89"/>
    <n v="2.4"/>
  </r>
  <r>
    <x v="2"/>
    <x v="2"/>
    <n v="127"/>
    <n v="2.89"/>
    <x v="0"/>
    <n v="67"/>
    <n v="9.8000000000000007"/>
    <n v="60"/>
    <n v="2.4900000000000002"/>
  </r>
  <r>
    <x v="5"/>
    <x v="3"/>
    <n v="69"/>
    <n v="6.92"/>
    <x v="0"/>
    <n v="55"/>
    <n v="10.71"/>
    <n v="14"/>
    <n v="3.43"/>
  </r>
  <r>
    <x v="4"/>
    <x v="1"/>
    <n v="59"/>
    <n v="2.2999999999999998"/>
    <x v="0"/>
    <n v="38"/>
    <n v="7.5"/>
    <n v="21"/>
    <n v="0.6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162741-68E6-47A7-BBAD-7E99119F0DC2}"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6:D60" firstHeaderRow="1" firstDataRow="2" firstDataCol="1"/>
  <pivotFields count="10">
    <pivotField axis="axisRow" subtotalTop="0" showAll="0">
      <items count="8">
        <item x="1"/>
        <item x="6"/>
        <item x="4"/>
        <item x="2"/>
        <item x="5"/>
        <item x="3"/>
        <item x="0"/>
        <item t="default"/>
      </items>
    </pivotField>
    <pivotField axis="axisRow" subtotalTop="0" showAll="0">
      <items count="5">
        <item x="2"/>
        <item h="1" x="1"/>
        <item x="0"/>
        <item h="1" x="3"/>
        <item t="default"/>
      </items>
    </pivotField>
    <pivotField subtotalTop="0" showAll="0"/>
    <pivotField numFmtId="165" subtotalTop="0" showAll="0"/>
    <pivotField axis="axisCol" subtotalTop="0" showAll="0">
      <items count="4">
        <item h="1" x="1"/>
        <item x="2"/>
        <item x="0"/>
        <item t="default"/>
      </items>
    </pivotField>
    <pivotField subtotalTop="0" showAll="0"/>
    <pivotField numFmtId="165" subtotalTop="0" showAll="0"/>
    <pivotField subtotalTop="0" showAll="0"/>
    <pivotField numFmtId="165" subtotalTop="0" showAll="0"/>
    <pivotField dataField="1" subtotalTop="0" dragToRow="0" dragToCol="0" dragToPage="0" showAll="0" defaultSubtotal="0"/>
  </pivotFields>
  <rowFields count="2">
    <field x="1"/>
    <field x="0"/>
  </rowFields>
  <rowItems count="13">
    <i>
      <x/>
    </i>
    <i r="1">
      <x/>
    </i>
    <i r="1">
      <x v="1"/>
    </i>
    <i r="1">
      <x v="3"/>
    </i>
    <i t="default">
      <x/>
    </i>
    <i>
      <x v="2"/>
    </i>
    <i r="1">
      <x/>
    </i>
    <i r="1">
      <x v="1"/>
    </i>
    <i r="1">
      <x v="2"/>
    </i>
    <i r="1">
      <x v="5"/>
    </i>
    <i r="1">
      <x v="6"/>
    </i>
    <i t="default">
      <x v="2"/>
    </i>
    <i t="grand">
      <x/>
    </i>
  </rowItems>
  <colFields count="1">
    <field x="4"/>
  </colFields>
  <colItems count="3">
    <i>
      <x v="1"/>
    </i>
    <i>
      <x v="2"/>
    </i>
    <i t="grand">
      <x/>
    </i>
  </colItems>
  <dataFields count="1">
    <dataField name="Sum of TotalShipCost" fld="9" baseField="0" baseItem="0"/>
  </dataFields>
  <chartFormats count="3">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ehouse" xr10:uid="{C76FE7BA-1A33-421A-9ADE-A6DFAAAE877D}" sourceName="Warehouse">
  <pivotTables>
    <pivotTable tabId="4" name="PivotTable2"/>
  </pivotTables>
  <data>
    <tabular pivotCacheId="1422079332">
      <items count="4">
        <i x="2" s="1"/>
        <i x="1"/>
        <i x="0" s="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 xr10:uid="{A9905100-FB0E-4159-97C7-A7CEFA3E56AA}" sourceName="Store">
  <pivotTables>
    <pivotTable tabId="4" name="PivotTable2"/>
  </pivotTables>
  <data>
    <tabular pivotCacheId="1422079332">
      <items count="3">
        <i x="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arehouse" xr10:uid="{36FFE442-B914-4517-9FC2-B3F2F7F9040A}" cache="Slicer_Warehouse" caption="Warehouse" rowHeight="241300"/>
  <slicer name="Store" xr10:uid="{A8D2F203-62E8-4461-A52A-E75707BF70C5}" cache="Slicer_Store" caption="Stor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49D15AA-A47C-4491-835D-4A59AEA82C05}" name="Table1" displayName="Table1" ref="A10:I31" totalsRowShown="0" headerRowDxfId="11" dataDxfId="10" tableBorderDxfId="9">
  <autoFilter ref="A10:I31" xr:uid="{649D15AA-A47C-4491-835D-4A59AEA82C05}">
    <filterColumn colId="0">
      <filters>
        <filter val="coke bottles"/>
        <filter val="juice bottles"/>
        <filter val="water bottles"/>
      </filters>
    </filterColumn>
    <filterColumn colId="5">
      <dynamicFilter type="aboveAverage" val="137.61904761904762"/>
    </filterColumn>
  </autoFilter>
  <sortState xmlns:xlrd2="http://schemas.microsoft.com/office/spreadsheetml/2017/richdata2" ref="A11:I31">
    <sortCondition descending="1" ref="F10:F31"/>
  </sortState>
  <tableColumns count="9">
    <tableColumn id="1" xr3:uid="{4F0A9082-94D0-4B90-AF6C-FD5CA42566B7}" name="Product" dataDxfId="8"/>
    <tableColumn id="2" xr3:uid="{4513F0F4-3034-4E5D-8E82-C8A72B16F5A0}" name="Warehouse" dataDxfId="7"/>
    <tableColumn id="3" xr3:uid="{90EA17E9-7007-4C63-BEDB-BFD1F98DCEE8}" name="Amount Shipped" dataDxfId="6"/>
    <tableColumn id="4" xr3:uid="{F1DBB09A-7DD0-418D-B1B9-EEBB44F5EE0D}" name="Shipping Cost" dataDxfId="5"/>
    <tableColumn id="5" xr3:uid="{59BE7DE8-7DE4-4358-A23F-228B68F6F1CF}" name="Store" dataDxfId="4"/>
    <tableColumn id="6" xr3:uid="{B29C137F-9E0F-4DD0-BF1D-143148D2B8DA}" name="Amount Sold" dataDxfId="3"/>
    <tableColumn id="7" xr3:uid="{B3B924AE-10EE-488B-891F-86B38696A9F7}" name="Sales Price" dataDxfId="2"/>
    <tableColumn id="8" xr3:uid="{CA351D08-AB41-45F1-8FC6-742BE3BA44E6}" name="Remaining Inventory" dataDxfId="1"/>
    <tableColumn id="9" xr3:uid="{C43B48A7-6C53-4C4F-B6EE-6EE3BB0601F9}" name="Holding Cos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0CBBE-2B2B-4220-9459-4D4B4F395C88}">
  <sheetPr codeName="Sheet1"/>
  <dimension ref="B2:G16"/>
  <sheetViews>
    <sheetView showGridLines="0" showRowColHeaders="0" workbookViewId="0">
      <selection activeCell="D5" sqref="D5:G5"/>
    </sheetView>
  </sheetViews>
  <sheetFormatPr defaultColWidth="9.140625" defaultRowHeight="15" x14ac:dyDescent="0.2"/>
  <cols>
    <col min="1" max="16384" width="9.140625" style="66"/>
  </cols>
  <sheetData>
    <row r="2" spans="2:7" ht="20.25" x14ac:dyDescent="0.3">
      <c r="B2" s="65" t="s">
        <v>156</v>
      </c>
    </row>
    <row r="3" spans="2:7" ht="20.25" x14ac:dyDescent="0.3">
      <c r="B3" s="65" t="s">
        <v>157</v>
      </c>
    </row>
    <row r="4" spans="2:7" ht="15.75" x14ac:dyDescent="0.25">
      <c r="B4" s="67"/>
    </row>
    <row r="5" spans="2:7" ht="15.75" x14ac:dyDescent="0.25">
      <c r="B5" s="67" t="s">
        <v>158</v>
      </c>
      <c r="D5" s="94" t="s">
        <v>182</v>
      </c>
      <c r="E5" s="95"/>
      <c r="F5" s="95"/>
      <c r="G5" s="96"/>
    </row>
    <row r="6" spans="2:7" ht="15.75" x14ac:dyDescent="0.25">
      <c r="B6" s="67"/>
    </row>
    <row r="7" spans="2:7" ht="15.75" x14ac:dyDescent="0.25">
      <c r="B7" s="67" t="s">
        <v>159</v>
      </c>
      <c r="D7" s="68">
        <v>85924</v>
      </c>
    </row>
    <row r="8" spans="2:7" x14ac:dyDescent="0.2">
      <c r="B8" s="69" t="s">
        <v>160</v>
      </c>
      <c r="C8" s="70"/>
      <c r="D8" s="71" t="s">
        <v>183</v>
      </c>
    </row>
    <row r="9" spans="2:7" x14ac:dyDescent="0.2">
      <c r="B9" s="69"/>
      <c r="C9" s="70"/>
      <c r="D9" s="71"/>
    </row>
    <row r="10" spans="2:7" x14ac:dyDescent="0.2">
      <c r="B10" s="72"/>
      <c r="C10" s="72"/>
      <c r="D10" s="72"/>
    </row>
    <row r="11" spans="2:7" ht="15.75" x14ac:dyDescent="0.25">
      <c r="B11" s="67" t="s">
        <v>161</v>
      </c>
    </row>
    <row r="12" spans="2:7" x14ac:dyDescent="0.2">
      <c r="B12" s="73" t="s">
        <v>162</v>
      </c>
    </row>
    <row r="13" spans="2:7" x14ac:dyDescent="0.2">
      <c r="B13" s="73" t="s">
        <v>163</v>
      </c>
    </row>
    <row r="14" spans="2:7" x14ac:dyDescent="0.2">
      <c r="B14" s="73" t="s">
        <v>164</v>
      </c>
    </row>
    <row r="16" spans="2:7" ht="15.75" x14ac:dyDescent="0.25">
      <c r="B16" s="67" t="s">
        <v>165</v>
      </c>
      <c r="D16" s="74" t="s">
        <v>184</v>
      </c>
    </row>
  </sheetData>
  <sheetProtection algorithmName="SHA-512" hashValue="PcoI8WKDifo4yXJ3J6qdKRPNmLr+KpxGUai5s+u5QDUQKryDA4pH57LVwQ/ZU49sDqOmmgQR1nVyxQEEd0sYxg==" saltValue="xk9b0Z6XCDHLzVPGuHkGnw==" spinCount="100000" sheet="1" objects="1" scenarios="1" selectLockedCells="1"/>
  <mergeCells count="1">
    <mergeCell ref="D5:G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D3021-9CFD-470D-8FF9-86181C1D4830}">
  <sheetPr codeName="Sheet2"/>
  <dimension ref="A1:K101"/>
  <sheetViews>
    <sheetView tabSelected="1" topLeftCell="A21" workbookViewId="0">
      <selection activeCell="B42" sqref="B42"/>
    </sheetView>
  </sheetViews>
  <sheetFormatPr defaultColWidth="4.5703125" defaultRowHeight="15" x14ac:dyDescent="0.25"/>
  <cols>
    <col min="1" max="1" width="19.140625" customWidth="1"/>
    <col min="2" max="2" width="13.7109375" bestFit="1" customWidth="1"/>
    <col min="3" max="3" width="11.85546875" customWidth="1"/>
    <col min="4" max="5" width="10.5703125" bestFit="1" customWidth="1"/>
    <col min="6" max="6" width="10.7109375" bestFit="1" customWidth="1"/>
    <col min="7" max="7" width="10" bestFit="1" customWidth="1"/>
    <col min="8" max="8" width="10.140625" bestFit="1" customWidth="1"/>
    <col min="9" max="9" width="10.7109375" bestFit="1" customWidth="1"/>
    <col min="10" max="10" width="10.5703125" bestFit="1" customWidth="1"/>
    <col min="11" max="11" width="11" bestFit="1" customWidth="1"/>
  </cols>
  <sheetData>
    <row r="1" spans="1:11" ht="18.75" x14ac:dyDescent="0.3">
      <c r="A1" s="54" t="s">
        <v>0</v>
      </c>
      <c r="B1" s="55"/>
      <c r="C1" s="56"/>
      <c r="D1" s="56"/>
      <c r="E1" s="56"/>
      <c r="F1" s="56"/>
      <c r="G1" s="55"/>
      <c r="H1" s="56"/>
      <c r="I1" s="56"/>
      <c r="J1" s="54"/>
      <c r="K1" s="55"/>
    </row>
    <row r="2" spans="1:11" x14ac:dyDescent="0.25">
      <c r="A2" s="57" t="s">
        <v>148</v>
      </c>
      <c r="B2" s="58"/>
      <c r="C2" s="58"/>
      <c r="D2" s="58"/>
      <c r="E2" s="58"/>
      <c r="F2" s="58"/>
      <c r="G2" s="58"/>
      <c r="H2" s="58"/>
      <c r="I2" s="58"/>
      <c r="J2" s="57"/>
      <c r="K2" s="58"/>
    </row>
    <row r="3" spans="1:11" x14ac:dyDescent="0.25">
      <c r="A3" s="57" t="s">
        <v>149</v>
      </c>
      <c r="B3" s="58"/>
      <c r="C3" s="58"/>
      <c r="D3" s="58"/>
      <c r="E3" s="58"/>
      <c r="F3" s="58"/>
      <c r="G3" s="58"/>
      <c r="H3" s="58"/>
      <c r="I3" s="58"/>
      <c r="J3" s="57"/>
      <c r="K3" s="58"/>
    </row>
    <row r="4" spans="1:11" x14ac:dyDescent="0.25">
      <c r="A4" s="59" t="s">
        <v>147</v>
      </c>
      <c r="B4" s="60"/>
      <c r="C4" s="60"/>
      <c r="D4" s="60"/>
      <c r="E4" s="60"/>
      <c r="F4" s="60"/>
      <c r="G4" s="60"/>
      <c r="H4" s="60"/>
      <c r="I4" s="60"/>
      <c r="J4" s="59"/>
      <c r="K4" s="60"/>
    </row>
    <row r="6" spans="1:11" x14ac:dyDescent="0.25">
      <c r="A6" s="1" t="s">
        <v>1</v>
      </c>
      <c r="B6" s="2" t="s">
        <v>2</v>
      </c>
      <c r="C6" s="2" t="s">
        <v>3</v>
      </c>
      <c r="D6" s="2" t="s">
        <v>4</v>
      </c>
      <c r="E6" s="2" t="s">
        <v>5</v>
      </c>
      <c r="F6" s="2" t="s">
        <v>6</v>
      </c>
      <c r="G6" s="2" t="s">
        <v>7</v>
      </c>
      <c r="H6" s="2" t="s">
        <v>8</v>
      </c>
      <c r="I6" s="2" t="s">
        <v>9</v>
      </c>
      <c r="J6" s="2" t="s">
        <v>10</v>
      </c>
      <c r="K6" s="2" t="s">
        <v>11</v>
      </c>
    </row>
    <row r="7" spans="1:11" x14ac:dyDescent="0.25">
      <c r="A7" s="3" t="s">
        <v>12</v>
      </c>
      <c r="B7" s="4">
        <v>42005</v>
      </c>
      <c r="C7" s="5">
        <v>42075</v>
      </c>
      <c r="D7" s="5">
        <v>42132</v>
      </c>
      <c r="E7" s="5">
        <v>42184</v>
      </c>
      <c r="F7" s="5">
        <v>42253</v>
      </c>
      <c r="G7" s="5">
        <v>42309</v>
      </c>
      <c r="H7" s="5">
        <v>42371</v>
      </c>
      <c r="I7" s="5">
        <v>42438</v>
      </c>
      <c r="J7" s="5">
        <v>42491</v>
      </c>
      <c r="K7" s="5">
        <v>42545</v>
      </c>
    </row>
    <row r="8" spans="1:11" x14ac:dyDescent="0.25">
      <c r="A8" s="3" t="s">
        <v>13</v>
      </c>
      <c r="B8" s="5">
        <v>42074</v>
      </c>
      <c r="C8" s="5">
        <v>42131</v>
      </c>
      <c r="D8" s="5">
        <v>42183</v>
      </c>
      <c r="E8" s="5">
        <v>42252</v>
      </c>
      <c r="F8" s="5">
        <v>42308</v>
      </c>
      <c r="G8" s="5">
        <v>42370</v>
      </c>
      <c r="H8" s="5">
        <v>42437</v>
      </c>
      <c r="I8" s="5">
        <v>42490</v>
      </c>
      <c r="J8" s="5">
        <v>42544</v>
      </c>
      <c r="K8" s="5">
        <v>42600</v>
      </c>
    </row>
    <row r="9" spans="1:11" x14ac:dyDescent="0.25">
      <c r="A9" s="6" t="s">
        <v>14</v>
      </c>
      <c r="B9" s="7">
        <v>4.6435999999999998E-2</v>
      </c>
      <c r="C9" s="7">
        <v>2.0171000000000001E-2</v>
      </c>
      <c r="D9" s="7">
        <v>6.3922999999999994E-2</v>
      </c>
      <c r="E9" s="7">
        <v>5.5239999999999997E-2</v>
      </c>
      <c r="F9" s="7">
        <v>5.6710000000000003E-2</v>
      </c>
      <c r="G9" s="7">
        <v>2.4153999999999998E-2</v>
      </c>
      <c r="H9" s="7">
        <v>2.716E-2</v>
      </c>
      <c r="I9" s="7">
        <v>2.2488000000000001E-2</v>
      </c>
      <c r="J9" s="7">
        <v>6.2183000000000002E-2</v>
      </c>
      <c r="K9" s="7">
        <v>4.3666999999999997E-2</v>
      </c>
    </row>
    <row r="10" spans="1:11" x14ac:dyDescent="0.25">
      <c r="A10" s="1"/>
      <c r="B10" s="8"/>
    </row>
    <row r="11" spans="1:11" x14ac:dyDescent="0.25">
      <c r="A11" s="1" t="s">
        <v>15</v>
      </c>
      <c r="B11" s="2" t="s">
        <v>2</v>
      </c>
      <c r="C11" s="2" t="s">
        <v>3</v>
      </c>
      <c r="D11" s="2" t="s">
        <v>4</v>
      </c>
      <c r="E11" s="2" t="s">
        <v>5</v>
      </c>
      <c r="F11" s="2" t="s">
        <v>6</v>
      </c>
      <c r="G11" s="2" t="s">
        <v>7</v>
      </c>
      <c r="H11" s="2" t="s">
        <v>8</v>
      </c>
      <c r="I11" s="2" t="s">
        <v>9</v>
      </c>
      <c r="J11" s="2" t="s">
        <v>10</v>
      </c>
      <c r="K11" s="2" t="s">
        <v>11</v>
      </c>
    </row>
    <row r="12" spans="1:11" x14ac:dyDescent="0.25">
      <c r="A12" s="9" t="s">
        <v>16</v>
      </c>
      <c r="B12" s="10">
        <v>224</v>
      </c>
      <c r="C12" s="10">
        <v>288</v>
      </c>
      <c r="D12" s="10">
        <v>167</v>
      </c>
      <c r="E12" s="10">
        <v>160</v>
      </c>
      <c r="F12" s="10">
        <v>240</v>
      </c>
      <c r="G12" s="10">
        <v>264</v>
      </c>
      <c r="H12" s="10">
        <v>243</v>
      </c>
      <c r="I12" s="10">
        <v>182</v>
      </c>
      <c r="J12" s="10">
        <v>201</v>
      </c>
      <c r="K12" s="10">
        <v>165</v>
      </c>
    </row>
    <row r="13" spans="1:11" x14ac:dyDescent="0.25">
      <c r="A13" s="9" t="s">
        <v>17</v>
      </c>
      <c r="B13" s="10">
        <v>180</v>
      </c>
      <c r="C13" s="10">
        <v>176</v>
      </c>
      <c r="D13" s="10">
        <v>287</v>
      </c>
      <c r="E13" s="10">
        <v>270</v>
      </c>
      <c r="F13" s="10">
        <v>281</v>
      </c>
      <c r="G13" s="10">
        <v>248</v>
      </c>
      <c r="H13" s="10">
        <v>235</v>
      </c>
      <c r="I13" s="10">
        <v>173</v>
      </c>
      <c r="J13" s="10">
        <v>293</v>
      </c>
      <c r="K13" s="10">
        <v>259</v>
      </c>
    </row>
    <row r="14" spans="1:11" x14ac:dyDescent="0.25">
      <c r="A14" s="9" t="s">
        <v>18</v>
      </c>
      <c r="B14" s="10">
        <v>202</v>
      </c>
      <c r="C14" s="10">
        <v>264</v>
      </c>
      <c r="D14" s="10">
        <v>164</v>
      </c>
      <c r="E14" s="10">
        <v>158</v>
      </c>
      <c r="F14" s="10">
        <v>165</v>
      </c>
      <c r="G14" s="10">
        <v>155</v>
      </c>
      <c r="H14" s="10">
        <v>172</v>
      </c>
      <c r="I14" s="10">
        <v>284</v>
      </c>
      <c r="J14" s="10">
        <v>230</v>
      </c>
      <c r="K14" s="10">
        <v>214</v>
      </c>
    </row>
    <row r="15" spans="1:11" x14ac:dyDescent="0.25">
      <c r="A15" s="9" t="s">
        <v>19</v>
      </c>
      <c r="B15" s="10">
        <v>266</v>
      </c>
      <c r="C15" s="10">
        <v>271</v>
      </c>
      <c r="D15" s="10">
        <v>275</v>
      </c>
      <c r="E15" s="10">
        <v>189</v>
      </c>
      <c r="F15" s="10">
        <v>273</v>
      </c>
      <c r="G15" s="10">
        <v>298</v>
      </c>
      <c r="H15" s="10">
        <v>257</v>
      </c>
      <c r="I15" s="10">
        <v>169</v>
      </c>
      <c r="J15" s="10">
        <v>184</v>
      </c>
      <c r="K15" s="10">
        <v>206</v>
      </c>
    </row>
    <row r="16" spans="1:11" x14ac:dyDescent="0.25">
      <c r="A16" s="9" t="s">
        <v>20</v>
      </c>
      <c r="B16" s="10">
        <v>175</v>
      </c>
      <c r="C16" s="10">
        <v>158</v>
      </c>
      <c r="D16" s="10">
        <v>290</v>
      </c>
      <c r="E16" s="10">
        <v>192</v>
      </c>
      <c r="F16" s="10">
        <v>250</v>
      </c>
      <c r="G16" s="10">
        <v>189</v>
      </c>
      <c r="H16" s="10">
        <v>156</v>
      </c>
      <c r="I16" s="10">
        <v>292</v>
      </c>
      <c r="J16" s="10">
        <v>239</v>
      </c>
      <c r="K16" s="10">
        <v>261</v>
      </c>
    </row>
    <row r="17" spans="1:11" x14ac:dyDescent="0.25">
      <c r="A17" s="9" t="s">
        <v>21</v>
      </c>
      <c r="B17" s="10">
        <v>300</v>
      </c>
      <c r="C17" s="10">
        <v>198</v>
      </c>
      <c r="D17" s="10">
        <v>225</v>
      </c>
      <c r="E17" s="10">
        <v>159</v>
      </c>
      <c r="F17" s="10">
        <v>151</v>
      </c>
      <c r="G17" s="10">
        <v>224</v>
      </c>
      <c r="H17" s="10">
        <v>166</v>
      </c>
      <c r="I17" s="10">
        <v>202</v>
      </c>
      <c r="J17" s="10">
        <v>178</v>
      </c>
      <c r="K17" s="10">
        <v>191</v>
      </c>
    </row>
    <row r="18" spans="1:11" x14ac:dyDescent="0.25">
      <c r="A18" s="9" t="s">
        <v>22</v>
      </c>
      <c r="B18" s="10">
        <v>282</v>
      </c>
      <c r="C18" s="10">
        <v>162</v>
      </c>
      <c r="D18" s="10">
        <v>179</v>
      </c>
      <c r="E18" s="10">
        <v>242</v>
      </c>
      <c r="F18" s="10">
        <v>201</v>
      </c>
      <c r="G18" s="10">
        <v>198</v>
      </c>
      <c r="H18" s="10">
        <v>260</v>
      </c>
      <c r="I18" s="10">
        <v>181</v>
      </c>
      <c r="J18" s="10">
        <v>202</v>
      </c>
      <c r="K18" s="10">
        <v>261</v>
      </c>
    </row>
    <row r="19" spans="1:11" x14ac:dyDescent="0.25">
      <c r="A19" s="9" t="s">
        <v>23</v>
      </c>
      <c r="B19" s="10">
        <v>277</v>
      </c>
      <c r="C19" s="10">
        <v>206</v>
      </c>
      <c r="D19" s="10">
        <v>187</v>
      </c>
      <c r="E19" s="10">
        <v>271</v>
      </c>
      <c r="F19" s="10">
        <v>230</v>
      </c>
      <c r="G19" s="10">
        <v>165</v>
      </c>
      <c r="H19" s="10">
        <v>227</v>
      </c>
      <c r="I19" s="10">
        <v>156</v>
      </c>
      <c r="J19" s="10">
        <v>206</v>
      </c>
      <c r="K19" s="10">
        <v>183</v>
      </c>
    </row>
    <row r="20" spans="1:11" x14ac:dyDescent="0.25">
      <c r="A20" s="11" t="s">
        <v>24</v>
      </c>
      <c r="B20" s="10">
        <v>266</v>
      </c>
      <c r="C20" s="10">
        <v>158</v>
      </c>
      <c r="D20" s="10">
        <v>287</v>
      </c>
      <c r="E20" s="10">
        <v>192</v>
      </c>
      <c r="F20" s="10">
        <v>240</v>
      </c>
      <c r="G20" s="10">
        <v>224</v>
      </c>
      <c r="H20" s="10">
        <v>257</v>
      </c>
      <c r="I20" s="10">
        <v>182</v>
      </c>
      <c r="J20" s="10">
        <v>239</v>
      </c>
      <c r="K20" s="10">
        <v>261</v>
      </c>
    </row>
    <row r="21" spans="1:11" x14ac:dyDescent="0.25">
      <c r="A21" s="9" t="s">
        <v>25</v>
      </c>
      <c r="B21" s="10">
        <v>237</v>
      </c>
      <c r="C21" s="10">
        <v>295</v>
      </c>
      <c r="D21" s="10">
        <v>237</v>
      </c>
      <c r="E21" s="10">
        <v>176</v>
      </c>
      <c r="F21" s="10">
        <v>151</v>
      </c>
      <c r="G21" s="10">
        <v>241</v>
      </c>
      <c r="H21" s="10">
        <v>184</v>
      </c>
      <c r="I21" s="10">
        <v>266</v>
      </c>
      <c r="J21" s="10">
        <v>256</v>
      </c>
      <c r="K21" s="10">
        <v>282</v>
      </c>
    </row>
    <row r="22" spans="1:11" x14ac:dyDescent="0.25">
      <c r="A22" s="9" t="s">
        <v>26</v>
      </c>
      <c r="B22" s="10">
        <v>210</v>
      </c>
      <c r="C22" s="10">
        <v>298</v>
      </c>
      <c r="D22" s="10">
        <v>160</v>
      </c>
      <c r="E22" s="10">
        <v>166</v>
      </c>
      <c r="F22" s="10">
        <v>285</v>
      </c>
      <c r="G22" s="10">
        <v>276</v>
      </c>
      <c r="H22" s="10">
        <v>227</v>
      </c>
      <c r="I22" s="10">
        <v>287</v>
      </c>
      <c r="J22" s="10">
        <v>219</v>
      </c>
      <c r="K22" s="10">
        <v>246</v>
      </c>
    </row>
    <row r="23" spans="1:11" x14ac:dyDescent="0.25">
      <c r="A23" s="9" t="s">
        <v>27</v>
      </c>
      <c r="B23" s="10">
        <v>163</v>
      </c>
      <c r="C23" s="10">
        <v>202</v>
      </c>
      <c r="D23" s="10">
        <v>199</v>
      </c>
      <c r="E23" s="10">
        <v>200</v>
      </c>
      <c r="F23" s="10">
        <v>273</v>
      </c>
      <c r="G23" s="10">
        <v>289</v>
      </c>
      <c r="H23" s="10">
        <v>213</v>
      </c>
      <c r="I23" s="10">
        <v>245</v>
      </c>
      <c r="J23" s="10">
        <v>272</v>
      </c>
      <c r="K23" s="10">
        <v>254</v>
      </c>
    </row>
    <row r="25" spans="1:11" x14ac:dyDescent="0.25">
      <c r="A25" s="1" t="s">
        <v>28</v>
      </c>
      <c r="B25" s="12" t="s">
        <v>29</v>
      </c>
      <c r="C25" s="13" t="s">
        <v>30</v>
      </c>
    </row>
    <row r="26" spans="1:11" x14ac:dyDescent="0.25">
      <c r="A26" s="9" t="s">
        <v>16</v>
      </c>
      <c r="B26" s="14">
        <v>14.61</v>
      </c>
      <c r="C26" s="15" t="s">
        <v>31</v>
      </c>
      <c r="D26" s="36"/>
      <c r="E26" s="36"/>
    </row>
    <row r="27" spans="1:11" x14ac:dyDescent="0.25">
      <c r="A27" s="9" t="s">
        <v>17</v>
      </c>
      <c r="B27" s="14">
        <v>15.05</v>
      </c>
      <c r="C27" s="15" t="s">
        <v>32</v>
      </c>
      <c r="D27" s="36"/>
      <c r="E27" s="36"/>
    </row>
    <row r="28" spans="1:11" x14ac:dyDescent="0.25">
      <c r="A28" s="9" t="s">
        <v>18</v>
      </c>
      <c r="B28" s="14">
        <v>16.8</v>
      </c>
      <c r="C28" s="15" t="s">
        <v>33</v>
      </c>
      <c r="D28" s="36"/>
      <c r="E28" s="36"/>
    </row>
    <row r="29" spans="1:11" x14ac:dyDescent="0.25">
      <c r="A29" s="9" t="s">
        <v>19</v>
      </c>
      <c r="B29" s="14">
        <v>13.85</v>
      </c>
      <c r="C29" s="15" t="s">
        <v>34</v>
      </c>
      <c r="D29" s="36"/>
      <c r="E29" s="36"/>
    </row>
    <row r="30" spans="1:11" x14ac:dyDescent="0.25">
      <c r="A30" s="9" t="s">
        <v>20</v>
      </c>
      <c r="B30" s="14">
        <v>13.41</v>
      </c>
      <c r="C30" s="15" t="s">
        <v>35</v>
      </c>
      <c r="D30" s="36"/>
      <c r="E30" s="36"/>
    </row>
    <row r="31" spans="1:11" x14ac:dyDescent="0.25">
      <c r="A31" s="9" t="s">
        <v>21</v>
      </c>
      <c r="B31" s="14">
        <v>16.75</v>
      </c>
      <c r="C31" s="15" t="s">
        <v>36</v>
      </c>
      <c r="D31" s="36"/>
      <c r="E31" s="36"/>
    </row>
    <row r="32" spans="1:11" x14ac:dyDescent="0.25">
      <c r="A32" s="9" t="s">
        <v>22</v>
      </c>
      <c r="B32" s="14">
        <v>13.36</v>
      </c>
      <c r="C32" s="15" t="s">
        <v>37</v>
      </c>
      <c r="D32" s="36"/>
      <c r="E32" s="36"/>
    </row>
    <row r="33" spans="1:11" x14ac:dyDescent="0.25">
      <c r="A33" s="9" t="s">
        <v>23</v>
      </c>
      <c r="B33" s="14">
        <v>15.57</v>
      </c>
      <c r="C33" s="15" t="s">
        <v>38</v>
      </c>
      <c r="D33" s="36"/>
      <c r="E33" s="36"/>
    </row>
    <row r="34" spans="1:11" x14ac:dyDescent="0.25">
      <c r="A34" s="11" t="s">
        <v>24</v>
      </c>
      <c r="B34" s="16">
        <v>14.32</v>
      </c>
      <c r="C34" s="17" t="s">
        <v>39</v>
      </c>
      <c r="D34" s="36"/>
      <c r="E34" s="36"/>
    </row>
    <row r="35" spans="1:11" x14ac:dyDescent="0.25">
      <c r="A35" s="9" t="s">
        <v>25</v>
      </c>
      <c r="B35" s="14">
        <v>14.84</v>
      </c>
      <c r="C35" s="15" t="s">
        <v>40</v>
      </c>
      <c r="D35" s="36"/>
      <c r="E35" s="36"/>
    </row>
    <row r="36" spans="1:11" x14ac:dyDescent="0.25">
      <c r="A36" s="9" t="s">
        <v>26</v>
      </c>
      <c r="B36" s="14">
        <v>16.21</v>
      </c>
      <c r="C36" s="15" t="s">
        <v>41</v>
      </c>
      <c r="D36" s="36"/>
      <c r="E36" s="36"/>
    </row>
    <row r="37" spans="1:11" x14ac:dyDescent="0.25">
      <c r="A37" s="9" t="s">
        <v>27</v>
      </c>
      <c r="B37" s="14">
        <v>16.190000000000001</v>
      </c>
      <c r="C37" s="15" t="s">
        <v>42</v>
      </c>
      <c r="D37" s="36"/>
      <c r="E37" s="36"/>
    </row>
    <row r="40" spans="1:11" x14ac:dyDescent="0.25">
      <c r="A40" s="37" t="s">
        <v>171</v>
      </c>
      <c r="B40" s="36"/>
      <c r="C40" s="36"/>
      <c r="D40" s="36"/>
      <c r="E40" s="36"/>
      <c r="F40" s="36"/>
      <c r="G40" s="36"/>
      <c r="H40" s="36"/>
      <c r="I40" s="36"/>
      <c r="J40" s="36"/>
      <c r="K40" s="36"/>
    </row>
    <row r="41" spans="1:11" x14ac:dyDescent="0.25">
      <c r="A41" s="18" t="s">
        <v>43</v>
      </c>
      <c r="B41" s="2" t="s">
        <v>2</v>
      </c>
      <c r="C41" s="2" t="s">
        <v>3</v>
      </c>
      <c r="D41" s="2" t="s">
        <v>4</v>
      </c>
      <c r="E41" s="2" t="s">
        <v>5</v>
      </c>
      <c r="F41" s="2" t="s">
        <v>6</v>
      </c>
      <c r="G41" s="2" t="s">
        <v>7</v>
      </c>
      <c r="H41" s="2" t="s">
        <v>8</v>
      </c>
      <c r="I41" s="2" t="s">
        <v>9</v>
      </c>
      <c r="J41" s="2" t="s">
        <v>10</v>
      </c>
      <c r="K41" s="2" t="s">
        <v>11</v>
      </c>
    </row>
    <row r="42" spans="1:11" x14ac:dyDescent="0.25">
      <c r="A42" s="9" t="s">
        <v>16</v>
      </c>
      <c r="B42" s="19">
        <f>($B26*B12)*(1-B$9)</f>
        <v>3120.6716889599998</v>
      </c>
      <c r="C42" s="19">
        <f t="shared" ref="C42:K42" si="0">($B26*C12)*(1-C$9)</f>
        <v>4122.80688672</v>
      </c>
      <c r="D42" s="19">
        <f t="shared" si="0"/>
        <v>2283.9061899899998</v>
      </c>
      <c r="E42" s="19">
        <f t="shared" si="0"/>
        <v>2208.4709760000001</v>
      </c>
      <c r="F42" s="19">
        <f t="shared" si="0"/>
        <v>3307.5520559999995</v>
      </c>
      <c r="G42" s="19">
        <f t="shared" si="0"/>
        <v>3763.8770558400001</v>
      </c>
      <c r="H42" s="19">
        <f t="shared" si="0"/>
        <v>3453.8057532000003</v>
      </c>
      <c r="I42" s="19">
        <f t="shared" si="0"/>
        <v>2599.2239582400002</v>
      </c>
      <c r="J42" s="19">
        <f t="shared" si="0"/>
        <v>2754.0027803699995</v>
      </c>
      <c r="K42" s="19">
        <f t="shared" si="0"/>
        <v>2305.3841464500001</v>
      </c>
    </row>
    <row r="43" spans="1:11" x14ac:dyDescent="0.25">
      <c r="A43" s="9" t="s">
        <v>17</v>
      </c>
      <c r="B43" s="19">
        <f t="shared" ref="B43:K43" si="1">($B27*B13)*(1-B$9)</f>
        <v>2583.2048759999998</v>
      </c>
      <c r="C43" s="19">
        <f t="shared" si="1"/>
        <v>2595.3710552000002</v>
      </c>
      <c r="D43" s="19">
        <f t="shared" si="1"/>
        <v>4043.2441899500004</v>
      </c>
      <c r="E43" s="19">
        <f t="shared" si="1"/>
        <v>3839.0322600000004</v>
      </c>
      <c r="F43" s="19">
        <f t="shared" si="1"/>
        <v>3989.2205745000001</v>
      </c>
      <c r="G43" s="19">
        <f t="shared" si="1"/>
        <v>3642.2476104000002</v>
      </c>
      <c r="H43" s="19">
        <f t="shared" si="1"/>
        <v>3440.6918700000001</v>
      </c>
      <c r="I43" s="19">
        <f t="shared" si="1"/>
        <v>2545.0991188000003</v>
      </c>
      <c r="J43" s="19">
        <f t="shared" si="1"/>
        <v>4135.444734050001</v>
      </c>
      <c r="K43" s="19">
        <f t="shared" si="1"/>
        <v>3727.73821735</v>
      </c>
    </row>
    <row r="44" spans="1:11" x14ac:dyDescent="0.25">
      <c r="A44" s="9" t="s">
        <v>18</v>
      </c>
      <c r="B44" s="19">
        <f t="shared" ref="B44:K44" si="2">($B28*B14)*(1-B$9)</f>
        <v>3236.0147904</v>
      </c>
      <c r="C44" s="19">
        <f t="shared" si="2"/>
        <v>4345.7375807999997</v>
      </c>
      <c r="D44" s="19">
        <f t="shared" si="2"/>
        <v>2579.0793504000003</v>
      </c>
      <c r="E44" s="19">
        <f t="shared" si="2"/>
        <v>2507.7709440000003</v>
      </c>
      <c r="F44" s="19">
        <f t="shared" si="2"/>
        <v>2614.79988</v>
      </c>
      <c r="G44" s="19">
        <f t="shared" si="2"/>
        <v>2541.1029840000001</v>
      </c>
      <c r="H44" s="19">
        <f t="shared" si="2"/>
        <v>2811.1184640000001</v>
      </c>
      <c r="I44" s="19">
        <f t="shared" si="2"/>
        <v>4663.9052543999996</v>
      </c>
      <c r="J44" s="19">
        <f t="shared" si="2"/>
        <v>3623.7248880000002</v>
      </c>
      <c r="K44" s="19">
        <f t="shared" si="2"/>
        <v>3438.2084016000003</v>
      </c>
    </row>
    <row r="45" spans="1:11" x14ac:dyDescent="0.25">
      <c r="A45" s="9" t="s">
        <v>19</v>
      </c>
      <c r="B45" s="19">
        <f t="shared" ref="B45:K45" si="3">($B29*B15)*(1-B$9)</f>
        <v>3513.0251323999996</v>
      </c>
      <c r="C45" s="19">
        <f t="shared" si="3"/>
        <v>3677.6411771499997</v>
      </c>
      <c r="D45" s="19">
        <f t="shared" si="3"/>
        <v>3565.2832737500003</v>
      </c>
      <c r="E45" s="19">
        <f t="shared" si="3"/>
        <v>2473.0510140000001</v>
      </c>
      <c r="F45" s="19">
        <f t="shared" si="3"/>
        <v>3566.6266544999994</v>
      </c>
      <c r="G45" s="19">
        <f t="shared" si="3"/>
        <v>4027.6091958000002</v>
      </c>
      <c r="H45" s="19">
        <f t="shared" si="3"/>
        <v>3462.7753379999999</v>
      </c>
      <c r="I45" s="19">
        <f t="shared" si="3"/>
        <v>2288.0134628000001</v>
      </c>
      <c r="J45" s="19">
        <f t="shared" si="3"/>
        <v>2389.9328427999999</v>
      </c>
      <c r="K45" s="19">
        <f t="shared" si="3"/>
        <v>2728.5136822999998</v>
      </c>
    </row>
    <row r="46" spans="1:11" x14ac:dyDescent="0.25">
      <c r="A46" s="9" t="s">
        <v>20</v>
      </c>
      <c r="B46" s="19">
        <f t="shared" ref="B46:K46" si="4">($B30*B16)*(1-B$9)</f>
        <v>2237.7763169999998</v>
      </c>
      <c r="C46" s="19">
        <f t="shared" si="4"/>
        <v>2076.04208862</v>
      </c>
      <c r="D46" s="19">
        <f t="shared" si="4"/>
        <v>3640.3098453000002</v>
      </c>
      <c r="E46" s="19">
        <f t="shared" si="4"/>
        <v>2432.4924672000002</v>
      </c>
      <c r="F46" s="19">
        <f t="shared" si="4"/>
        <v>3162.3797249999998</v>
      </c>
      <c r="G46" s="19">
        <f t="shared" si="4"/>
        <v>2473.2719285400003</v>
      </c>
      <c r="H46" s="19">
        <f t="shared" si="4"/>
        <v>2035.1423664000001</v>
      </c>
      <c r="I46" s="19">
        <f t="shared" si="4"/>
        <v>3827.6632886400002</v>
      </c>
      <c r="J46" s="19">
        <f t="shared" si="4"/>
        <v>3005.6941068300002</v>
      </c>
      <c r="K46" s="19">
        <f t="shared" si="4"/>
        <v>3347.1750633300003</v>
      </c>
    </row>
    <row r="47" spans="1:11" x14ac:dyDescent="0.25">
      <c r="A47" s="9" t="s">
        <v>21</v>
      </c>
      <c r="B47" s="19">
        <f t="shared" ref="B47:K47" si="5">($B31*B17)*(1-B$9)</f>
        <v>4791.6590999999999</v>
      </c>
      <c r="C47" s="19">
        <f t="shared" si="5"/>
        <v>3249.6028784999999</v>
      </c>
      <c r="D47" s="19">
        <f t="shared" si="5"/>
        <v>3527.8401937500003</v>
      </c>
      <c r="E47" s="19">
        <f t="shared" si="5"/>
        <v>2516.1320700000001</v>
      </c>
      <c r="F47" s="19">
        <f t="shared" si="5"/>
        <v>2385.8162324999998</v>
      </c>
      <c r="G47" s="19">
        <f t="shared" si="5"/>
        <v>3661.3741919999998</v>
      </c>
      <c r="H47" s="19">
        <f t="shared" si="5"/>
        <v>2704.98162</v>
      </c>
      <c r="I47" s="19">
        <f t="shared" si="5"/>
        <v>3307.4118520000002</v>
      </c>
      <c r="J47" s="19">
        <f t="shared" si="5"/>
        <v>2796.1013855000001</v>
      </c>
      <c r="K47" s="19">
        <f t="shared" si="5"/>
        <v>3059.5483502500001</v>
      </c>
    </row>
    <row r="48" spans="1:11" x14ac:dyDescent="0.25">
      <c r="A48" s="9" t="s">
        <v>22</v>
      </c>
      <c r="B48" s="19">
        <f t="shared" ref="B48:K48" si="6">($B32*B18)*(1-B$9)</f>
        <v>3592.5714412799998</v>
      </c>
      <c r="C48" s="19">
        <f t="shared" si="6"/>
        <v>2120.6635012799998</v>
      </c>
      <c r="D48" s="19">
        <f t="shared" si="6"/>
        <v>2238.57198088</v>
      </c>
      <c r="E48" s="19">
        <f t="shared" si="6"/>
        <v>3054.5224512</v>
      </c>
      <c r="F48" s="19">
        <f t="shared" si="6"/>
        <v>2533.0732343999994</v>
      </c>
      <c r="G48" s="19">
        <f t="shared" si="6"/>
        <v>2581.3859068799998</v>
      </c>
      <c r="H48" s="19">
        <f t="shared" si="6"/>
        <v>3379.257024</v>
      </c>
      <c r="I48" s="19">
        <f t="shared" si="6"/>
        <v>2363.7804179199998</v>
      </c>
      <c r="J48" s="19">
        <f t="shared" si="6"/>
        <v>2530.9054942399998</v>
      </c>
      <c r="K48" s="19">
        <f t="shared" si="6"/>
        <v>3334.6949176799999</v>
      </c>
    </row>
    <row r="49" spans="1:11" x14ac:dyDescent="0.25">
      <c r="A49" s="9" t="s">
        <v>23</v>
      </c>
      <c r="B49" s="19">
        <f t="shared" ref="B49:K49" si="7">($B33*B19)*(1-B$9)</f>
        <v>4112.6166399600006</v>
      </c>
      <c r="C49" s="19">
        <f t="shared" si="7"/>
        <v>3142.7231311800001</v>
      </c>
      <c r="D49" s="19">
        <f t="shared" si="7"/>
        <v>2725.4724324300005</v>
      </c>
      <c r="E49" s="19">
        <f t="shared" si="7"/>
        <v>3986.3864772000006</v>
      </c>
      <c r="F49" s="19">
        <f t="shared" si="7"/>
        <v>3378.0158189999997</v>
      </c>
      <c r="G49" s="19">
        <f t="shared" si="7"/>
        <v>2506.9971663000001</v>
      </c>
      <c r="H49" s="19">
        <f t="shared" si="7"/>
        <v>3438.3959675999999</v>
      </c>
      <c r="I49" s="19">
        <f t="shared" si="7"/>
        <v>2374.2984470400002</v>
      </c>
      <c r="J49" s="19">
        <f t="shared" si="7"/>
        <v>3007.9730021400001</v>
      </c>
      <c r="K49" s="19">
        <f t="shared" si="7"/>
        <v>2724.88918023</v>
      </c>
    </row>
    <row r="50" spans="1:11" x14ac:dyDescent="0.25">
      <c r="A50" s="11" t="s">
        <v>24</v>
      </c>
      <c r="B50" s="19">
        <f t="shared" ref="B50:K50" si="8">($B34*B20)*(1-B$9)</f>
        <v>3632.2397036799998</v>
      </c>
      <c r="C50" s="19">
        <f t="shared" si="8"/>
        <v>2216.9219022399998</v>
      </c>
      <c r="D50" s="19">
        <f t="shared" si="8"/>
        <v>3847.1266976800002</v>
      </c>
      <c r="E50" s="19">
        <f t="shared" si="8"/>
        <v>2597.5609344</v>
      </c>
      <c r="F50" s="19">
        <f t="shared" si="8"/>
        <v>3241.8990720000002</v>
      </c>
      <c r="G50" s="19">
        <f t="shared" si="8"/>
        <v>3130.2016972800002</v>
      </c>
      <c r="H50" s="19">
        <f t="shared" si="8"/>
        <v>3580.2846816000006</v>
      </c>
      <c r="I50" s="19">
        <f t="shared" si="8"/>
        <v>2547.6308748800002</v>
      </c>
      <c r="J50" s="19">
        <f t="shared" si="8"/>
        <v>3209.6599261599999</v>
      </c>
      <c r="K50" s="19">
        <f t="shared" si="8"/>
        <v>3574.31371416</v>
      </c>
    </row>
    <row r="51" spans="1:11" x14ac:dyDescent="0.25">
      <c r="A51" s="9" t="s">
        <v>25</v>
      </c>
      <c r="B51" s="19">
        <f t="shared" ref="B51:K51" si="9">($B35*B21)*(1-B$9)</f>
        <v>3353.7608731199998</v>
      </c>
      <c r="C51" s="19">
        <f t="shared" si="9"/>
        <v>4289.4953962</v>
      </c>
      <c r="D51" s="19">
        <f t="shared" si="9"/>
        <v>3292.2576951599999</v>
      </c>
      <c r="E51" s="19">
        <f t="shared" si="9"/>
        <v>2467.5619584000001</v>
      </c>
      <c r="F51" s="19">
        <f t="shared" si="9"/>
        <v>2113.7619635999999</v>
      </c>
      <c r="G51" s="19">
        <f t="shared" si="9"/>
        <v>3490.05466824</v>
      </c>
      <c r="H51" s="19">
        <f t="shared" si="9"/>
        <v>2656.3979904000003</v>
      </c>
      <c r="I51" s="19">
        <f t="shared" si="9"/>
        <v>3858.6699692800003</v>
      </c>
      <c r="J51" s="19">
        <f t="shared" si="9"/>
        <v>3562.80429568</v>
      </c>
      <c r="K51" s="19">
        <f t="shared" si="9"/>
        <v>4002.13884504</v>
      </c>
    </row>
    <row r="52" spans="1:11" x14ac:dyDescent="0.25">
      <c r="A52" s="9" t="s">
        <v>26</v>
      </c>
      <c r="B52" s="19">
        <f t="shared" ref="B52:K52" si="10">($B36*B22)*(1-B$9)</f>
        <v>3246.0272124000003</v>
      </c>
      <c r="C52" s="19">
        <f t="shared" si="10"/>
        <v>4733.14237082</v>
      </c>
      <c r="D52" s="19">
        <f t="shared" si="10"/>
        <v>2427.8093072000006</v>
      </c>
      <c r="E52" s="19">
        <f t="shared" si="10"/>
        <v>2542.2168936000003</v>
      </c>
      <c r="F52" s="19">
        <f t="shared" si="10"/>
        <v>4357.8583065000003</v>
      </c>
      <c r="G52" s="19">
        <f t="shared" si="10"/>
        <v>4365.8959701599997</v>
      </c>
      <c r="H52" s="19">
        <f t="shared" si="10"/>
        <v>3579.7301628</v>
      </c>
      <c r="I52" s="19">
        <f t="shared" si="10"/>
        <v>4547.6497522400005</v>
      </c>
      <c r="J52" s="19">
        <f t="shared" si="10"/>
        <v>3329.2409718300005</v>
      </c>
      <c r="K52" s="19">
        <f t="shared" si="10"/>
        <v>3813.53085078</v>
      </c>
    </row>
    <row r="53" spans="1:11" x14ac:dyDescent="0.25">
      <c r="A53" s="9" t="s">
        <v>27</v>
      </c>
      <c r="B53" s="19">
        <f t="shared" ref="B53:K53" si="11">($B37*B23)*(1-B$9)</f>
        <v>2516.4267890800002</v>
      </c>
      <c r="C53" s="19">
        <f t="shared" si="11"/>
        <v>3204.4131650199997</v>
      </c>
      <c r="D53" s="19">
        <f t="shared" si="11"/>
        <v>3015.8622393700007</v>
      </c>
      <c r="E53" s="19">
        <f t="shared" si="11"/>
        <v>3059.1328800000006</v>
      </c>
      <c r="F53" s="19">
        <f t="shared" si="11"/>
        <v>4169.2191723000005</v>
      </c>
      <c r="G53" s="19">
        <f t="shared" si="11"/>
        <v>4565.8956078600004</v>
      </c>
      <c r="H53" s="19">
        <f t="shared" si="11"/>
        <v>3354.8095548000006</v>
      </c>
      <c r="I53" s="19">
        <f t="shared" si="11"/>
        <v>3877.3502236000004</v>
      </c>
      <c r="J53" s="19">
        <f t="shared" si="11"/>
        <v>4129.8459665600003</v>
      </c>
      <c r="K53" s="19">
        <f t="shared" si="11"/>
        <v>3932.6899425800002</v>
      </c>
    </row>
    <row r="56" spans="1:11" x14ac:dyDescent="0.25">
      <c r="A56" s="37" t="s">
        <v>166</v>
      </c>
      <c r="B56" s="36"/>
      <c r="C56" s="36"/>
      <c r="D56" s="36"/>
      <c r="E56" s="36"/>
      <c r="F56" s="36"/>
      <c r="G56" s="36"/>
      <c r="H56" s="36"/>
      <c r="I56" s="36"/>
      <c r="J56" s="36"/>
      <c r="K56" s="36"/>
    </row>
    <row r="57" spans="1:11" x14ac:dyDescent="0.25">
      <c r="B57" s="2" t="s">
        <v>2</v>
      </c>
      <c r="C57" s="2" t="s">
        <v>3</v>
      </c>
      <c r="D57" s="2" t="s">
        <v>4</v>
      </c>
      <c r="E57" s="2" t="s">
        <v>5</v>
      </c>
      <c r="F57" s="2" t="s">
        <v>6</v>
      </c>
      <c r="G57" s="2" t="s">
        <v>7</v>
      </c>
      <c r="H57" s="2" t="s">
        <v>8</v>
      </c>
      <c r="I57" s="2" t="s">
        <v>9</v>
      </c>
      <c r="J57" s="2" t="s">
        <v>10</v>
      </c>
      <c r="K57" s="2" t="s">
        <v>11</v>
      </c>
    </row>
    <row r="58" spans="1:11" x14ac:dyDescent="0.25">
      <c r="A58" s="18" t="s">
        <v>44</v>
      </c>
      <c r="B58" s="19" cm="1">
        <f t="array" ref="B58">SUM(Avg_Unit_Price*Period_1)*Period_1_Tax</f>
        <v>1944.7754357199997</v>
      </c>
      <c r="C58" s="19" cm="1">
        <f t="array" ref="C58">SUM(Avg_Unit_Price*Period_2)*Period_2_Tax</f>
        <v>818.80886627000007</v>
      </c>
      <c r="D58" s="19" cm="1">
        <f t="array" ref="D58">SUM(Avg_Unit_Price*Period_3)*Period_3_Tax</f>
        <v>2539.4166041399994</v>
      </c>
      <c r="E58" s="19" cm="1">
        <f t="array" ref="E58">SUM(Avg_Unit_Price*Period_4)*Period_4_Tax</f>
        <v>1969.5186739999999</v>
      </c>
      <c r="F58" s="19" cm="1">
        <f t="array" ref="F58">SUM(Avg_Unit_Price*Period_5)*Period_5_Tax</f>
        <v>2333.8473097000001</v>
      </c>
      <c r="G58" s="19" cm="1">
        <f t="array" ref="G58">SUM(Avg_Unit_Price*Period_6)*Period_6_Tax</f>
        <v>1008.6360167</v>
      </c>
      <c r="H58" s="19" cm="1">
        <f t="array" ref="H58">SUM(Avg_Unit_Price*Period_7)*Period_7_Tax</f>
        <v>1058.0292072</v>
      </c>
      <c r="I58" s="19" cm="1">
        <f t="array" ref="I58">SUM(Avg_Unit_Price*Period_8)*Period_8_Tax</f>
        <v>892.62338016000024</v>
      </c>
      <c r="J58" s="19" cm="1">
        <f t="array" ref="J58">SUM(Avg_Unit_Price*Period_9)*Period_9_Tax</f>
        <v>2551.1496058399998</v>
      </c>
      <c r="K58" s="19" cm="1">
        <f t="array" ref="K58">SUM(Avg_Unit_Price*Period_10)*Period_10_Tax</f>
        <v>1825.9246882500001</v>
      </c>
    </row>
    <row r="60" spans="1:11" x14ac:dyDescent="0.25">
      <c r="A60" s="37" t="s">
        <v>167</v>
      </c>
      <c r="B60" s="36"/>
      <c r="C60" s="36"/>
      <c r="D60" s="36"/>
      <c r="E60" s="36"/>
      <c r="F60" s="36"/>
      <c r="G60" s="36"/>
      <c r="H60" s="36"/>
      <c r="I60" s="36"/>
      <c r="J60" s="36"/>
      <c r="K60" s="36"/>
    </row>
    <row r="61" spans="1:11" x14ac:dyDescent="0.25">
      <c r="A61" s="37" t="s">
        <v>168</v>
      </c>
      <c r="B61" s="36"/>
      <c r="C61" s="36"/>
      <c r="D61" s="36"/>
      <c r="E61" s="36"/>
      <c r="F61" s="36"/>
      <c r="G61" s="36"/>
      <c r="H61" s="36"/>
      <c r="I61" s="36"/>
      <c r="J61" s="36"/>
      <c r="K61" s="36"/>
    </row>
    <row r="64" spans="1:11" x14ac:dyDescent="0.25">
      <c r="A64" s="37" t="s">
        <v>169</v>
      </c>
      <c r="B64" s="36"/>
      <c r="C64" s="36"/>
      <c r="D64" s="36"/>
      <c r="E64" s="36"/>
      <c r="F64" s="36"/>
      <c r="G64" s="36"/>
      <c r="H64" s="36"/>
      <c r="I64" s="36"/>
      <c r="J64" s="36"/>
      <c r="K64" s="36"/>
    </row>
    <row r="65" spans="1:11" x14ac:dyDescent="0.25">
      <c r="A65" s="37" t="s">
        <v>170</v>
      </c>
      <c r="B65" s="36"/>
      <c r="C65" s="36"/>
      <c r="D65" s="36"/>
      <c r="E65" s="36"/>
      <c r="F65" s="36"/>
      <c r="G65" s="36"/>
      <c r="H65" s="36"/>
      <c r="I65" s="36"/>
      <c r="J65" s="36"/>
      <c r="K65" s="36"/>
    </row>
    <row r="66" spans="1:11" x14ac:dyDescent="0.25">
      <c r="A66" s="1" t="s">
        <v>45</v>
      </c>
      <c r="B66" s="20" t="s">
        <v>46</v>
      </c>
      <c r="C66" s="20" t="s">
        <v>47</v>
      </c>
      <c r="D66" s="20" t="s">
        <v>48</v>
      </c>
    </row>
    <row r="67" spans="1:11" x14ac:dyDescent="0.25">
      <c r="A67" s="21" t="s">
        <v>49</v>
      </c>
      <c r="B67" s="75">
        <f>ROUND(AVERAGE(Kroger), 0)</f>
        <v>218</v>
      </c>
      <c r="C67" s="22">
        <f>MIN(Kroger)</f>
        <v>155</v>
      </c>
      <c r="D67" s="22">
        <f>MAX(Kroger)</f>
        <v>293</v>
      </c>
    </row>
    <row r="68" spans="1:11" x14ac:dyDescent="0.25">
      <c r="A68" s="21" t="s">
        <v>50</v>
      </c>
      <c r="B68" s="75">
        <f>ROUND(AVERAGE(CVS), 0)</f>
        <v>219</v>
      </c>
      <c r="C68" s="22">
        <f>MIN(CVS)</f>
        <v>151</v>
      </c>
      <c r="D68" s="22">
        <f>MAX(CVS)</f>
        <v>300</v>
      </c>
    </row>
    <row r="69" spans="1:11" x14ac:dyDescent="0.25">
      <c r="A69" s="21" t="s">
        <v>51</v>
      </c>
      <c r="B69" s="75">
        <f>ROUND(AVERAGE(Walgreens), 0)</f>
        <v>219</v>
      </c>
      <c r="C69" s="22">
        <f>MIN(Walgreens)</f>
        <v>156</v>
      </c>
      <c r="D69" s="22">
        <f>MAX(Walgreens)</f>
        <v>287</v>
      </c>
    </row>
    <row r="70" spans="1:11" x14ac:dyDescent="0.25">
      <c r="A70" s="21" t="s">
        <v>52</v>
      </c>
      <c r="B70" s="75">
        <f>ROUND(AVERAGE(FoodLion), 0)</f>
        <v>234</v>
      </c>
      <c r="C70" s="22">
        <f>MIN(FoodLion)</f>
        <v>151</v>
      </c>
      <c r="D70" s="22">
        <f>MAX(FoodLion)</f>
        <v>298</v>
      </c>
    </row>
    <row r="73" spans="1:11" x14ac:dyDescent="0.25">
      <c r="A73" s="37" t="s">
        <v>172</v>
      </c>
      <c r="B73" s="36"/>
      <c r="C73" s="36"/>
      <c r="D73" s="36"/>
      <c r="E73" s="36"/>
      <c r="F73" s="36"/>
      <c r="G73" s="36"/>
      <c r="H73" s="36"/>
      <c r="I73" s="36"/>
      <c r="J73" s="36"/>
      <c r="K73" s="36"/>
    </row>
    <row r="74" spans="1:11" x14ac:dyDescent="0.25">
      <c r="A74" s="37" t="s">
        <v>58</v>
      </c>
      <c r="B74" s="36"/>
      <c r="C74" s="36"/>
      <c r="D74" s="36"/>
      <c r="E74" s="36"/>
      <c r="F74" s="36"/>
      <c r="G74" s="36"/>
      <c r="H74" s="36"/>
      <c r="I74" s="36"/>
      <c r="J74" s="36"/>
      <c r="K74" s="36"/>
    </row>
    <row r="75" spans="1:11" x14ac:dyDescent="0.25">
      <c r="A75" s="39" t="s">
        <v>53</v>
      </c>
    </row>
    <row r="76" spans="1:11" x14ac:dyDescent="0.25">
      <c r="A76" s="23" t="str">
        <f>A67 &amp; ": Average Sales = " &amp; B67 &amp; ";" &amp; " Min Sales =  " &amp; C67 &amp; "; Max Sales = " &amp; D67</f>
        <v>Kroger: Average Sales = 218; Min Sales =  155; Max Sales = 293</v>
      </c>
      <c r="B76" s="24"/>
      <c r="C76" s="24"/>
      <c r="D76" s="24"/>
      <c r="E76" s="25"/>
    </row>
    <row r="77" spans="1:11" x14ac:dyDescent="0.25">
      <c r="A77" s="23" t="str">
        <f>A68 &amp; ": Average Sales = " &amp; B68 &amp; ";" &amp; " Min Sales =  " &amp; C68 &amp; "; Max Sales = " &amp; D68</f>
        <v>CVS: Average Sales = 219; Min Sales =  151; Max Sales = 300</v>
      </c>
      <c r="B77" s="38"/>
      <c r="C77" s="38"/>
      <c r="D77" s="38"/>
      <c r="E77" s="26"/>
    </row>
    <row r="78" spans="1:11" x14ac:dyDescent="0.25">
      <c r="A78" s="23" t="str">
        <f>A69 &amp; ": Average Sales = " &amp; B69 &amp; ";" &amp; " Min Sales =  " &amp; C69 &amp; "; Max Sales = " &amp; D69</f>
        <v>Walgreens: Average Sales = 219; Min Sales =  156; Max Sales = 287</v>
      </c>
      <c r="B78" s="38"/>
      <c r="C78" s="38"/>
      <c r="D78" s="38"/>
      <c r="E78" s="26"/>
    </row>
    <row r="79" spans="1:11" x14ac:dyDescent="0.25">
      <c r="A79" s="23" t="str">
        <f>A70 &amp; ": Average Sales = " &amp; B70 &amp; ";" &amp; " Min Sales =  " &amp; C70 &amp; "; Max Sales = " &amp; D70</f>
        <v>FoodLion: Average Sales = 234; Min Sales =  151; Max Sales = 298</v>
      </c>
      <c r="B79" s="27"/>
      <c r="C79" s="27"/>
      <c r="D79" s="27"/>
      <c r="E79" s="28"/>
    </row>
    <row r="82" spans="1:11" x14ac:dyDescent="0.25">
      <c r="A82" s="37" t="s">
        <v>173</v>
      </c>
      <c r="B82" s="36"/>
      <c r="C82" s="36"/>
      <c r="D82" s="36"/>
      <c r="E82" s="36"/>
      <c r="F82" s="36"/>
      <c r="G82" s="36"/>
      <c r="H82" s="36"/>
      <c r="I82" s="36"/>
      <c r="J82" s="36"/>
      <c r="K82" s="36"/>
    </row>
    <row r="83" spans="1:11" x14ac:dyDescent="0.25">
      <c r="A83" s="8"/>
      <c r="B83" s="29" t="s">
        <v>54</v>
      </c>
      <c r="C83" s="29" t="s">
        <v>55</v>
      </c>
    </row>
    <row r="84" spans="1:11" x14ac:dyDescent="0.25">
      <c r="A84" s="30" t="s">
        <v>16</v>
      </c>
      <c r="B84" s="31" t="str">
        <f>MID(C26,FIND("/",C26)-8,8)</f>
        <v xml:space="preserve"> Main St</v>
      </c>
      <c r="C84" s="31" t="str">
        <f>MID(C26,FIND("/",C26)+2,5)</f>
        <v>Bburg</v>
      </c>
    </row>
    <row r="85" spans="1:11" x14ac:dyDescent="0.25">
      <c r="A85" s="30" t="s">
        <v>17</v>
      </c>
      <c r="B85" s="31" t="str">
        <f>MID(C27,FIND("//",C27)-15,15)</f>
        <v xml:space="preserve"> University Ave</v>
      </c>
      <c r="C85" s="31" t="str">
        <f t="shared" ref="C85:C95" si="12">MID(C27,FIND("/",C27)+2,5)</f>
        <v>Bburg</v>
      </c>
    </row>
    <row r="86" spans="1:11" x14ac:dyDescent="0.25">
      <c r="A86" s="30" t="s">
        <v>18</v>
      </c>
      <c r="B86" s="31" t="str">
        <f>MID(C28,FIND("//",C28)-12,12)</f>
        <v xml:space="preserve"> Central Ave</v>
      </c>
      <c r="C86" s="31" t="str">
        <f t="shared" si="12"/>
        <v>Cburg</v>
      </c>
    </row>
    <row r="87" spans="1:11" x14ac:dyDescent="0.25">
      <c r="A87" s="30" t="s">
        <v>19</v>
      </c>
      <c r="B87" s="31" t="str">
        <f t="shared" ref="B87:B95" si="13">MID(C29,FIND("/",C29)-8,8)</f>
        <v xml:space="preserve"> Main St</v>
      </c>
      <c r="C87" s="31" t="str">
        <f t="shared" si="12"/>
        <v>Bburg</v>
      </c>
    </row>
    <row r="88" spans="1:11" x14ac:dyDescent="0.25">
      <c r="A88" s="30" t="s">
        <v>20</v>
      </c>
      <c r="B88" s="31" t="str">
        <f>MID(C30,FIND("//",C30)-15,15)</f>
        <v xml:space="preserve"> University Ave</v>
      </c>
      <c r="C88" s="31" t="str">
        <f t="shared" si="12"/>
        <v>Bburg</v>
      </c>
    </row>
    <row r="89" spans="1:11" x14ac:dyDescent="0.25">
      <c r="A89" s="30" t="s">
        <v>21</v>
      </c>
      <c r="B89" s="31" t="str">
        <f t="shared" si="13"/>
        <v xml:space="preserve"> City St</v>
      </c>
      <c r="C89" s="31" t="str">
        <f t="shared" si="12"/>
        <v>Cburg</v>
      </c>
    </row>
    <row r="90" spans="1:11" x14ac:dyDescent="0.25">
      <c r="A90" s="30" t="s">
        <v>22</v>
      </c>
      <c r="B90" s="31" t="str">
        <f t="shared" si="13"/>
        <v xml:space="preserve"> City St</v>
      </c>
      <c r="C90" s="31" t="str">
        <f t="shared" si="12"/>
        <v>Cburg</v>
      </c>
    </row>
    <row r="91" spans="1:11" x14ac:dyDescent="0.25">
      <c r="A91" s="30" t="s">
        <v>23</v>
      </c>
      <c r="B91" s="31" t="str">
        <f t="shared" si="13"/>
        <v xml:space="preserve"> Busy St</v>
      </c>
      <c r="C91" s="31" t="str">
        <f t="shared" si="12"/>
        <v>Cburg</v>
      </c>
    </row>
    <row r="92" spans="1:11" x14ac:dyDescent="0.25">
      <c r="A92" s="32" t="s">
        <v>24</v>
      </c>
      <c r="B92" s="31" t="str">
        <f t="shared" si="13"/>
        <v xml:space="preserve"> Main St</v>
      </c>
      <c r="C92" s="31" t="str">
        <f t="shared" si="12"/>
        <v>Cburg</v>
      </c>
    </row>
    <row r="93" spans="1:11" x14ac:dyDescent="0.25">
      <c r="A93" s="30" t="s">
        <v>25</v>
      </c>
      <c r="B93" s="31" t="str">
        <f>MID(C35,FIND("//",C35)-6,6)</f>
        <v>New St</v>
      </c>
      <c r="C93" s="31" t="str">
        <f t="shared" si="12"/>
        <v>Bburg</v>
      </c>
    </row>
    <row r="94" spans="1:11" x14ac:dyDescent="0.25">
      <c r="A94" s="30" t="s">
        <v>26</v>
      </c>
      <c r="B94" s="31" t="str">
        <f>MID(C36,FIND("/",C36)-9,9)</f>
        <v>Price Ave</v>
      </c>
      <c r="C94" s="31" t="str">
        <f t="shared" si="12"/>
        <v>Bburg</v>
      </c>
    </row>
    <row r="95" spans="1:11" x14ac:dyDescent="0.25">
      <c r="A95" s="30" t="s">
        <v>27</v>
      </c>
      <c r="B95" s="31" t="str">
        <f t="shared" si="13"/>
        <v xml:space="preserve"> Busy St</v>
      </c>
      <c r="C95" s="31" t="str">
        <f t="shared" si="12"/>
        <v>Cburg</v>
      </c>
    </row>
    <row r="96" spans="1:11" x14ac:dyDescent="0.25">
      <c r="A96" s="33"/>
    </row>
    <row r="97" spans="1:11" x14ac:dyDescent="0.25">
      <c r="A97" s="33"/>
    </row>
    <row r="98" spans="1:11" x14ac:dyDescent="0.25">
      <c r="A98" s="37" t="s">
        <v>174</v>
      </c>
      <c r="B98" s="36"/>
      <c r="C98" s="36"/>
      <c r="D98" s="36"/>
      <c r="E98" s="36"/>
      <c r="F98" s="36"/>
      <c r="G98" s="36"/>
      <c r="H98" s="36"/>
      <c r="I98" s="36"/>
      <c r="J98" s="36"/>
      <c r="K98" s="36"/>
    </row>
    <row r="99" spans="1:11" x14ac:dyDescent="0.25">
      <c r="A99" s="33"/>
      <c r="B99" s="2" t="s">
        <v>2</v>
      </c>
      <c r="C99" s="2" t="s">
        <v>3</v>
      </c>
      <c r="D99" s="2" t="s">
        <v>4</v>
      </c>
      <c r="E99" s="2" t="s">
        <v>5</v>
      </c>
      <c r="F99" s="2" t="s">
        <v>6</v>
      </c>
      <c r="G99" s="2" t="s">
        <v>7</v>
      </c>
      <c r="H99" s="2" t="s">
        <v>8</v>
      </c>
      <c r="I99" s="2" t="s">
        <v>9</v>
      </c>
      <c r="J99" s="2" t="s">
        <v>10</v>
      </c>
      <c r="K99" s="2" t="s">
        <v>11</v>
      </c>
    </row>
    <row r="100" spans="1:11" x14ac:dyDescent="0.25">
      <c r="A100" s="34" t="s">
        <v>56</v>
      </c>
      <c r="B100" s="35">
        <f>YEARFRAC(B7,B8)*52</f>
        <v>10.111111111111111</v>
      </c>
      <c r="C100" s="35">
        <f t="shared" ref="C100:K100" si="14">YEARFRAC(C7,C8)*52</f>
        <v>7.9444444444444446</v>
      </c>
      <c r="D100" s="35">
        <f t="shared" si="14"/>
        <v>7.2222222222222223</v>
      </c>
      <c r="E100" s="35">
        <f t="shared" si="14"/>
        <v>9.5333333333333332</v>
      </c>
      <c r="F100" s="35">
        <f t="shared" si="14"/>
        <v>7.9444444444444446</v>
      </c>
      <c r="G100" s="35">
        <f t="shared" si="14"/>
        <v>8.6666666666666661</v>
      </c>
      <c r="H100" s="35">
        <f t="shared" si="14"/>
        <v>9.5333333333333332</v>
      </c>
      <c r="I100" s="35">
        <f t="shared" si="14"/>
        <v>7.3666666666666663</v>
      </c>
      <c r="J100" s="35">
        <f t="shared" si="14"/>
        <v>7.5111111111111102</v>
      </c>
      <c r="K100" s="35">
        <f t="shared" si="14"/>
        <v>7.8</v>
      </c>
    </row>
    <row r="101" spans="1:11" x14ac:dyDescent="0.25">
      <c r="A101" s="34" t="s">
        <v>57</v>
      </c>
      <c r="B101" s="35">
        <f>YEARFRAC(B7,B8)*12</f>
        <v>2.3333333333333335</v>
      </c>
      <c r="C101" s="35">
        <f t="shared" ref="C101:K101" si="15">YEARFRAC(C7,C8)*12</f>
        <v>1.8333333333333335</v>
      </c>
      <c r="D101" s="35">
        <f t="shared" si="15"/>
        <v>1.6666666666666667</v>
      </c>
      <c r="E101" s="35">
        <f t="shared" si="15"/>
        <v>2.1999999999999997</v>
      </c>
      <c r="F101" s="35">
        <f t="shared" si="15"/>
        <v>1.8333333333333335</v>
      </c>
      <c r="G101" s="35">
        <f t="shared" si="15"/>
        <v>2</v>
      </c>
      <c r="H101" s="35">
        <f t="shared" si="15"/>
        <v>2.1999999999999997</v>
      </c>
      <c r="I101" s="35">
        <f t="shared" si="15"/>
        <v>1.7</v>
      </c>
      <c r="J101" s="35">
        <f t="shared" si="15"/>
        <v>1.7333333333333332</v>
      </c>
      <c r="K101" s="35">
        <f t="shared" si="15"/>
        <v>1.7999999999999998</v>
      </c>
    </row>
  </sheetData>
  <pageMargins left="0.7" right="0.7" top="0.75" bottom="0.75" header="0.3" footer="0.3"/>
  <ignoredErrors>
    <ignoredError sqref="B85 B87:B88 B93"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65FF-6C75-4076-AB1B-D3502D67764B}">
  <sheetPr codeName="Sheet3"/>
  <dimension ref="A1:I95"/>
  <sheetViews>
    <sheetView topLeftCell="A2" workbookViewId="0">
      <selection activeCell="C36" sqref="C36"/>
    </sheetView>
  </sheetViews>
  <sheetFormatPr defaultColWidth="4.85546875" defaultRowHeight="15" x14ac:dyDescent="0.25"/>
  <cols>
    <col min="1" max="1" width="16.42578125" customWidth="1"/>
    <col min="2" max="2" width="11.140625" style="40" bestFit="1" customWidth="1"/>
    <col min="3" max="3" width="10.140625" bestFit="1" customWidth="1"/>
    <col min="4" max="4" width="9.140625" bestFit="1" customWidth="1"/>
    <col min="5" max="6" width="10.28515625" bestFit="1" customWidth="1"/>
    <col min="7" max="7" width="12.42578125" style="40" bestFit="1" customWidth="1"/>
    <col min="8" max="8" width="14.7109375" bestFit="1" customWidth="1"/>
  </cols>
  <sheetData>
    <row r="1" spans="1:9" ht="18.75" x14ac:dyDescent="0.3">
      <c r="A1" s="54" t="s">
        <v>105</v>
      </c>
      <c r="B1" s="55"/>
      <c r="C1" s="56"/>
      <c r="D1" s="56"/>
      <c r="E1" s="56"/>
      <c r="F1" s="56"/>
      <c r="G1" s="55"/>
      <c r="H1" s="56"/>
      <c r="I1" s="56"/>
    </row>
    <row r="2" spans="1:9" x14ac:dyDescent="0.25">
      <c r="A2" s="57" t="s">
        <v>150</v>
      </c>
      <c r="B2" s="58"/>
      <c r="C2" s="58"/>
      <c r="D2" s="58"/>
      <c r="E2" s="58"/>
      <c r="F2" s="58"/>
      <c r="G2" s="58"/>
      <c r="H2" s="58"/>
      <c r="I2" s="58"/>
    </row>
    <row r="3" spans="1:9" x14ac:dyDescent="0.25">
      <c r="A3" s="57" t="s">
        <v>151</v>
      </c>
      <c r="B3" s="58"/>
      <c r="C3" s="58"/>
      <c r="D3" s="58"/>
      <c r="E3" s="58"/>
      <c r="F3" s="58"/>
      <c r="G3" s="58"/>
      <c r="H3" s="58"/>
      <c r="I3" s="58"/>
    </row>
    <row r="4" spans="1:9" x14ac:dyDescent="0.25">
      <c r="A4" s="59" t="s">
        <v>147</v>
      </c>
      <c r="B4" s="60"/>
      <c r="C4" s="60"/>
      <c r="D4" s="60"/>
      <c r="E4" s="60"/>
      <c r="F4" s="60"/>
      <c r="G4" s="60"/>
      <c r="H4" s="60"/>
      <c r="I4" s="60"/>
    </row>
    <row r="6" spans="1:9" x14ac:dyDescent="0.25">
      <c r="A6" s="37" t="s">
        <v>175</v>
      </c>
      <c r="B6" s="47"/>
      <c r="C6" s="36"/>
      <c r="D6" s="36"/>
      <c r="E6" s="36"/>
      <c r="F6" s="36"/>
      <c r="G6" s="47"/>
      <c r="H6" s="36"/>
      <c r="I6" s="36"/>
    </row>
    <row r="7" spans="1:9" x14ac:dyDescent="0.25">
      <c r="A7" s="2" t="s">
        <v>88</v>
      </c>
      <c r="C7" s="40"/>
      <c r="D7" s="40"/>
      <c r="E7" s="40"/>
      <c r="F7" s="40"/>
    </row>
    <row r="8" spans="1:9" x14ac:dyDescent="0.25">
      <c r="A8" s="40"/>
      <c r="C8" s="40"/>
      <c r="D8" s="40"/>
      <c r="E8" s="40"/>
      <c r="F8" s="40"/>
    </row>
    <row r="9" spans="1:9" x14ac:dyDescent="0.25">
      <c r="A9" s="37" t="s">
        <v>176</v>
      </c>
      <c r="B9" s="47"/>
      <c r="C9" s="36"/>
      <c r="D9" s="36"/>
      <c r="E9" s="36"/>
      <c r="F9" s="36"/>
      <c r="G9" s="47"/>
      <c r="H9" s="36"/>
      <c r="I9" s="36"/>
    </row>
    <row r="10" spans="1:9" x14ac:dyDescent="0.25">
      <c r="A10" s="37" t="s">
        <v>110</v>
      </c>
      <c r="B10" s="47"/>
      <c r="C10" s="36"/>
      <c r="D10" s="36"/>
      <c r="E10" s="36"/>
      <c r="F10" s="36"/>
      <c r="G10" s="47"/>
      <c r="H10" s="36"/>
      <c r="I10" s="36"/>
    </row>
    <row r="11" spans="1:9" x14ac:dyDescent="0.25">
      <c r="A11" s="37" t="s">
        <v>103</v>
      </c>
      <c r="B11" s="47"/>
      <c r="C11" s="36"/>
      <c r="D11" s="36"/>
      <c r="E11" s="36"/>
      <c r="F11" s="36"/>
      <c r="G11" s="47"/>
      <c r="H11" s="36"/>
      <c r="I11" s="36"/>
    </row>
    <row r="12" spans="1:9" x14ac:dyDescent="0.25">
      <c r="A12" s="48"/>
    </row>
    <row r="13" spans="1:9" x14ac:dyDescent="0.25">
      <c r="A13" s="37" t="s">
        <v>104</v>
      </c>
      <c r="B13" s="47"/>
      <c r="C13" s="36"/>
      <c r="D13" s="36"/>
      <c r="E13" s="36"/>
      <c r="F13" s="36"/>
      <c r="G13" s="47"/>
      <c r="H13" s="36"/>
      <c r="I13" s="36"/>
    </row>
    <row r="14" spans="1:9" x14ac:dyDescent="0.25">
      <c r="A14" s="97" t="s">
        <v>108</v>
      </c>
      <c r="B14" s="97"/>
    </row>
    <row r="15" spans="1:9" x14ac:dyDescent="0.25">
      <c r="A15" s="2" t="s">
        <v>88</v>
      </c>
      <c r="B15" s="22">
        <f>SUMIF($C$36:$C$95, A15, $D$36:$D$95)</f>
        <v>62</v>
      </c>
    </row>
    <row r="16" spans="1:9" x14ac:dyDescent="0.25">
      <c r="A16" s="2" t="s">
        <v>89</v>
      </c>
      <c r="B16" s="22">
        <f t="shared" ref="B16:B19" si="0">SUMIF($C$36:$C$95, A16, $D$36:$D$95)</f>
        <v>51</v>
      </c>
    </row>
    <row r="17" spans="1:9" x14ac:dyDescent="0.25">
      <c r="A17" s="2" t="s">
        <v>90</v>
      </c>
      <c r="B17" s="22">
        <f t="shared" si="0"/>
        <v>99</v>
      </c>
    </row>
    <row r="18" spans="1:9" x14ac:dyDescent="0.25">
      <c r="A18" s="2" t="s">
        <v>91</v>
      </c>
      <c r="B18" s="22">
        <f t="shared" si="0"/>
        <v>58</v>
      </c>
    </row>
    <row r="19" spans="1:9" x14ac:dyDescent="0.25">
      <c r="A19" s="2" t="s">
        <v>92</v>
      </c>
      <c r="B19" s="22">
        <f t="shared" si="0"/>
        <v>46</v>
      </c>
    </row>
    <row r="20" spans="1:9" x14ac:dyDescent="0.25">
      <c r="A20" s="48"/>
    </row>
    <row r="21" spans="1:9" x14ac:dyDescent="0.25">
      <c r="A21" s="37" t="s">
        <v>177</v>
      </c>
      <c r="B21" s="47"/>
      <c r="C21" s="36"/>
      <c r="D21" s="36"/>
      <c r="E21" s="36"/>
      <c r="F21" s="36"/>
      <c r="G21" s="47"/>
      <c r="H21" s="36"/>
      <c r="I21" s="36"/>
    </row>
    <row r="22" spans="1:9" x14ac:dyDescent="0.25">
      <c r="A22" s="18" t="s">
        <v>109</v>
      </c>
      <c r="B22" s="49">
        <f>((COUNTIF(F36:F95,F46))+(COUNTIF(F36:F95,F86)))/COUNTA(F36:F95)</f>
        <v>0.25</v>
      </c>
    </row>
    <row r="23" spans="1:9" x14ac:dyDescent="0.25">
      <c r="A23" s="48"/>
    </row>
    <row r="24" spans="1:9" x14ac:dyDescent="0.25">
      <c r="A24" s="37" t="s">
        <v>107</v>
      </c>
      <c r="B24" s="47"/>
      <c r="C24" s="36"/>
      <c r="D24" s="36"/>
      <c r="E24" s="36"/>
      <c r="F24" s="36"/>
      <c r="G24" s="47"/>
      <c r="H24" s="36"/>
      <c r="I24" s="36"/>
    </row>
    <row r="25" spans="1:9" x14ac:dyDescent="0.25">
      <c r="A25" s="50" t="s">
        <v>111</v>
      </c>
      <c r="B25" s="2" t="s">
        <v>88</v>
      </c>
      <c r="C25" s="2" t="s">
        <v>89</v>
      </c>
      <c r="D25" s="2" t="s">
        <v>90</v>
      </c>
      <c r="E25" s="2" t="s">
        <v>91</v>
      </c>
      <c r="F25" s="2" t="s">
        <v>92</v>
      </c>
    </row>
    <row r="26" spans="1:9" x14ac:dyDescent="0.25">
      <c r="A26" s="9" t="s">
        <v>93</v>
      </c>
      <c r="B26" s="35">
        <f>AVERAGEIFS($D$36:$D$95, $F$36:$F$95, $A26, $C$36:$C$95, B$25)</f>
        <v>7.5</v>
      </c>
      <c r="C26" s="35">
        <f t="shared" ref="C26:F26" si="1">AVERAGEIFS($D$36:$D$95, $F$36:$F$95, $A26, $C$36:$C$95, C$25)</f>
        <v>5</v>
      </c>
      <c r="D26" s="35">
        <f t="shared" si="1"/>
        <v>1</v>
      </c>
      <c r="E26" s="35">
        <f t="shared" si="1"/>
        <v>5.5</v>
      </c>
      <c r="F26" s="35">
        <f t="shared" si="1"/>
        <v>4</v>
      </c>
    </row>
    <row r="27" spans="1:9" x14ac:dyDescent="0.25">
      <c r="A27" s="9" t="s">
        <v>94</v>
      </c>
      <c r="B27" s="35">
        <v>0</v>
      </c>
      <c r="C27" s="35">
        <f t="shared" ref="B27:F32" si="2">AVERAGEIFS($D$36:$D$95, $F$36:$F$95, $A27, $C$36:$C$95, C$25)</f>
        <v>2</v>
      </c>
      <c r="D27" s="35">
        <f t="shared" si="2"/>
        <v>3.8333333333333335</v>
      </c>
      <c r="E27" s="35">
        <f t="shared" si="2"/>
        <v>6</v>
      </c>
      <c r="F27" s="35">
        <f t="shared" si="2"/>
        <v>9</v>
      </c>
    </row>
    <row r="28" spans="1:9" x14ac:dyDescent="0.25">
      <c r="A28" s="9" t="s">
        <v>95</v>
      </c>
      <c r="B28" s="35">
        <f t="shared" si="2"/>
        <v>8.5</v>
      </c>
      <c r="C28" s="35">
        <f t="shared" si="2"/>
        <v>2</v>
      </c>
      <c r="D28" s="35">
        <f t="shared" si="2"/>
        <v>3.6666666666666665</v>
      </c>
      <c r="E28" s="35">
        <v>0</v>
      </c>
      <c r="F28" s="35">
        <f t="shared" si="2"/>
        <v>4.5</v>
      </c>
    </row>
    <row r="29" spans="1:9" x14ac:dyDescent="0.25">
      <c r="A29" s="9" t="s">
        <v>96</v>
      </c>
      <c r="B29" s="35">
        <f t="shared" si="2"/>
        <v>6</v>
      </c>
      <c r="C29" s="35">
        <f t="shared" si="2"/>
        <v>2.3333333333333335</v>
      </c>
      <c r="D29" s="35">
        <f t="shared" si="2"/>
        <v>6</v>
      </c>
      <c r="E29" s="35">
        <f t="shared" si="2"/>
        <v>4</v>
      </c>
      <c r="F29" s="35">
        <f t="shared" si="2"/>
        <v>8</v>
      </c>
    </row>
    <row r="30" spans="1:9" x14ac:dyDescent="0.25">
      <c r="A30" s="9" t="s">
        <v>97</v>
      </c>
      <c r="B30" s="35">
        <f t="shared" si="2"/>
        <v>6</v>
      </c>
      <c r="C30" s="35">
        <f t="shared" si="2"/>
        <v>10</v>
      </c>
      <c r="D30" s="35">
        <f t="shared" si="2"/>
        <v>5</v>
      </c>
      <c r="E30" s="35">
        <f t="shared" si="2"/>
        <v>6.5</v>
      </c>
      <c r="F30" s="35">
        <v>0</v>
      </c>
    </row>
    <row r="31" spans="1:9" x14ac:dyDescent="0.25">
      <c r="A31" s="9" t="s">
        <v>98</v>
      </c>
      <c r="B31" s="35">
        <v>0</v>
      </c>
      <c r="C31" s="35">
        <f t="shared" si="2"/>
        <v>4.666666666666667</v>
      </c>
      <c r="D31" s="35">
        <f t="shared" si="2"/>
        <v>7</v>
      </c>
      <c r="E31" s="35">
        <f t="shared" si="2"/>
        <v>7</v>
      </c>
      <c r="F31" s="35">
        <f t="shared" si="2"/>
        <v>5.333333333333333</v>
      </c>
    </row>
    <row r="32" spans="1:9" x14ac:dyDescent="0.25">
      <c r="A32" s="9" t="s">
        <v>99</v>
      </c>
      <c r="B32" s="35">
        <f t="shared" si="2"/>
        <v>6</v>
      </c>
      <c r="C32" s="35">
        <f t="shared" si="2"/>
        <v>5.5</v>
      </c>
      <c r="D32" s="35">
        <f t="shared" si="2"/>
        <v>6</v>
      </c>
      <c r="E32" s="35">
        <v>0</v>
      </c>
      <c r="F32" s="35">
        <v>0</v>
      </c>
    </row>
    <row r="33" spans="1:8" x14ac:dyDescent="0.25">
      <c r="A33" s="40"/>
      <c r="C33" s="40"/>
      <c r="D33" s="40"/>
      <c r="E33" s="40"/>
      <c r="F33" s="40"/>
    </row>
    <row r="34" spans="1:8" x14ac:dyDescent="0.25">
      <c r="A34" s="8" t="s">
        <v>59</v>
      </c>
    </row>
    <row r="35" spans="1:8" x14ac:dyDescent="0.25">
      <c r="A35" s="41" t="s">
        <v>60</v>
      </c>
      <c r="B35" s="2" t="s">
        <v>61</v>
      </c>
      <c r="C35" s="41" t="s">
        <v>62</v>
      </c>
      <c r="D35" s="2" t="s">
        <v>63</v>
      </c>
      <c r="E35" s="42" t="s">
        <v>64</v>
      </c>
      <c r="F35" s="41" t="s">
        <v>100</v>
      </c>
      <c r="G35" s="20" t="s">
        <v>102</v>
      </c>
      <c r="H35" s="29" t="s">
        <v>101</v>
      </c>
    </row>
    <row r="36" spans="1:8" x14ac:dyDescent="0.25">
      <c r="A36" s="43" t="s">
        <v>78</v>
      </c>
      <c r="B36" s="44">
        <v>6798420</v>
      </c>
      <c r="C36" s="43" t="s">
        <v>92</v>
      </c>
      <c r="D36" s="45">
        <v>7</v>
      </c>
      <c r="E36" s="46">
        <v>43558</v>
      </c>
      <c r="F36" s="46" t="s">
        <v>95</v>
      </c>
      <c r="G36" s="22" t="str">
        <f t="shared" ref="G36:G45" si="3">IF(AND((D36&gt;AVERAGE($D$36:$D$95)), F36=$F$46), "***", " ")</f>
        <v xml:space="preserve"> </v>
      </c>
      <c r="H36" s="22" t="str">
        <f>IF(OR(F36=$F$46, F36 = $F$52), "weekend", " ")</f>
        <v xml:space="preserve"> </v>
      </c>
    </row>
    <row r="37" spans="1:8" x14ac:dyDescent="0.25">
      <c r="A37" s="43" t="s">
        <v>82</v>
      </c>
      <c r="B37" s="44">
        <v>3652883</v>
      </c>
      <c r="C37" s="43" t="s">
        <v>88</v>
      </c>
      <c r="D37" s="45">
        <v>6</v>
      </c>
      <c r="E37" s="46">
        <v>43559</v>
      </c>
      <c r="F37" s="46" t="s">
        <v>96</v>
      </c>
      <c r="G37" s="22" t="str">
        <f t="shared" si="3"/>
        <v xml:space="preserve"> </v>
      </c>
      <c r="H37" s="22" t="str">
        <f t="shared" ref="H37:H95" si="4">IF(OR(F37=$F$46, F37 = $F$52), "weekend", " ")</f>
        <v xml:space="preserve"> </v>
      </c>
    </row>
    <row r="38" spans="1:8" x14ac:dyDescent="0.25">
      <c r="A38" s="43" t="s">
        <v>83</v>
      </c>
      <c r="B38" s="44">
        <v>1504751</v>
      </c>
      <c r="C38" s="43" t="s">
        <v>89</v>
      </c>
      <c r="D38" s="45">
        <v>5</v>
      </c>
      <c r="E38" s="46">
        <v>43563</v>
      </c>
      <c r="F38" s="46" t="s">
        <v>93</v>
      </c>
      <c r="G38" s="22" t="str">
        <f t="shared" si="3"/>
        <v xml:space="preserve"> </v>
      </c>
      <c r="H38" s="22" t="str">
        <f t="shared" si="4"/>
        <v xml:space="preserve"> </v>
      </c>
    </row>
    <row r="39" spans="1:8" x14ac:dyDescent="0.25">
      <c r="A39" s="43" t="s">
        <v>82</v>
      </c>
      <c r="B39" s="44">
        <v>3652883</v>
      </c>
      <c r="C39" s="43" t="s">
        <v>92</v>
      </c>
      <c r="D39" s="45">
        <v>4</v>
      </c>
      <c r="E39" s="46">
        <v>43563</v>
      </c>
      <c r="F39" s="46" t="s">
        <v>93</v>
      </c>
      <c r="G39" s="22" t="str">
        <f t="shared" si="3"/>
        <v xml:space="preserve"> </v>
      </c>
      <c r="H39" s="22" t="str">
        <f t="shared" si="4"/>
        <v xml:space="preserve"> </v>
      </c>
    </row>
    <row r="40" spans="1:8" x14ac:dyDescent="0.25">
      <c r="A40" s="43" t="s">
        <v>69</v>
      </c>
      <c r="B40" s="44">
        <v>1719949</v>
      </c>
      <c r="C40" s="43" t="s">
        <v>90</v>
      </c>
      <c r="D40" s="45">
        <v>3</v>
      </c>
      <c r="E40" s="46">
        <v>43564</v>
      </c>
      <c r="F40" s="46" t="s">
        <v>94</v>
      </c>
      <c r="G40" s="22" t="str">
        <f t="shared" si="3"/>
        <v xml:space="preserve"> </v>
      </c>
      <c r="H40" s="22" t="str">
        <f t="shared" si="4"/>
        <v xml:space="preserve"> </v>
      </c>
    </row>
    <row r="41" spans="1:8" x14ac:dyDescent="0.25">
      <c r="A41" s="43" t="s">
        <v>75</v>
      </c>
      <c r="B41" s="44">
        <v>8898296</v>
      </c>
      <c r="C41" s="43" t="s">
        <v>92</v>
      </c>
      <c r="D41" s="45">
        <v>9</v>
      </c>
      <c r="E41" s="46">
        <v>43564</v>
      </c>
      <c r="F41" s="46" t="s">
        <v>94</v>
      </c>
      <c r="G41" s="22" t="str">
        <f t="shared" si="3"/>
        <v xml:space="preserve"> </v>
      </c>
      <c r="H41" s="22" t="str">
        <f t="shared" si="4"/>
        <v xml:space="preserve"> </v>
      </c>
    </row>
    <row r="42" spans="1:8" x14ac:dyDescent="0.25">
      <c r="A42" s="43" t="s">
        <v>84</v>
      </c>
      <c r="B42" s="44">
        <v>9741735</v>
      </c>
      <c r="C42" s="43" t="s">
        <v>90</v>
      </c>
      <c r="D42" s="45">
        <v>9</v>
      </c>
      <c r="E42" s="46">
        <v>43564</v>
      </c>
      <c r="F42" s="46" t="s">
        <v>94</v>
      </c>
      <c r="G42" s="22" t="str">
        <f t="shared" si="3"/>
        <v xml:space="preserve"> </v>
      </c>
      <c r="H42" s="22" t="str">
        <f t="shared" si="4"/>
        <v xml:space="preserve"> </v>
      </c>
    </row>
    <row r="43" spans="1:8" x14ac:dyDescent="0.25">
      <c r="A43" s="43" t="s">
        <v>83</v>
      </c>
      <c r="B43" s="44">
        <v>1504751</v>
      </c>
      <c r="C43" s="43" t="s">
        <v>90</v>
      </c>
      <c r="D43" s="45">
        <v>2</v>
      </c>
      <c r="E43" s="46">
        <v>43565</v>
      </c>
      <c r="F43" s="46" t="s">
        <v>95</v>
      </c>
      <c r="G43" s="22" t="str">
        <f t="shared" si="3"/>
        <v xml:space="preserve"> </v>
      </c>
      <c r="H43" s="22" t="str">
        <f t="shared" si="4"/>
        <v xml:space="preserve"> </v>
      </c>
    </row>
    <row r="44" spans="1:8" x14ac:dyDescent="0.25">
      <c r="A44" s="43" t="s">
        <v>68</v>
      </c>
      <c r="B44" s="44">
        <v>3114039</v>
      </c>
      <c r="C44" s="43" t="s">
        <v>92</v>
      </c>
      <c r="D44" s="45">
        <v>8</v>
      </c>
      <c r="E44" s="46">
        <v>43566</v>
      </c>
      <c r="F44" s="46" t="s">
        <v>96</v>
      </c>
      <c r="G44" s="22" t="str">
        <f t="shared" si="3"/>
        <v xml:space="preserve"> </v>
      </c>
      <c r="H44" s="22" t="str">
        <f t="shared" si="4"/>
        <v xml:space="preserve"> </v>
      </c>
    </row>
    <row r="45" spans="1:8" x14ac:dyDescent="0.25">
      <c r="A45" s="43" t="s">
        <v>71</v>
      </c>
      <c r="B45" s="44">
        <v>3476423</v>
      </c>
      <c r="C45" s="43" t="s">
        <v>89</v>
      </c>
      <c r="D45" s="45">
        <v>10</v>
      </c>
      <c r="E45" s="46">
        <v>43567</v>
      </c>
      <c r="F45" s="46" t="s">
        <v>97</v>
      </c>
      <c r="G45" s="22" t="str">
        <f t="shared" si="3"/>
        <v xml:space="preserve"> </v>
      </c>
      <c r="H45" s="22" t="str">
        <f t="shared" si="4"/>
        <v xml:space="preserve"> </v>
      </c>
    </row>
    <row r="46" spans="1:8" x14ac:dyDescent="0.25">
      <c r="A46" s="43" t="s">
        <v>67</v>
      </c>
      <c r="B46" s="44">
        <v>6444430</v>
      </c>
      <c r="C46" s="43" t="s">
        <v>88</v>
      </c>
      <c r="D46" s="45">
        <v>7</v>
      </c>
      <c r="E46" s="46">
        <v>43569</v>
      </c>
      <c r="F46" s="46" t="s">
        <v>99</v>
      </c>
      <c r="G46" s="22" t="str">
        <f>IF(AND((D46&gt;AVERAGE($D$36:$D$95)), F46=$F$46), "***", " ")</f>
        <v>***</v>
      </c>
      <c r="H46" s="22" t="str">
        <f t="shared" si="4"/>
        <v>weekend</v>
      </c>
    </row>
    <row r="47" spans="1:8" x14ac:dyDescent="0.25">
      <c r="A47" s="43" t="s">
        <v>72</v>
      </c>
      <c r="B47" s="44">
        <v>1348405</v>
      </c>
      <c r="C47" s="43" t="s">
        <v>90</v>
      </c>
      <c r="D47" s="45">
        <v>1</v>
      </c>
      <c r="E47" s="46">
        <v>43570</v>
      </c>
      <c r="F47" s="46" t="s">
        <v>93</v>
      </c>
      <c r="G47" s="22" t="str">
        <f t="shared" ref="G47:G95" si="5">IF(AND((D47&gt;AVERAGE($D$36:$D$95)), F47=$F$46), "***", " ")</f>
        <v xml:space="preserve"> </v>
      </c>
      <c r="H47" s="22" t="str">
        <f t="shared" si="4"/>
        <v xml:space="preserve"> </v>
      </c>
    </row>
    <row r="48" spans="1:8" x14ac:dyDescent="0.25">
      <c r="A48" s="43" t="s">
        <v>68</v>
      </c>
      <c r="B48" s="44">
        <v>3114039</v>
      </c>
      <c r="C48" s="43" t="s">
        <v>90</v>
      </c>
      <c r="D48" s="45">
        <v>3</v>
      </c>
      <c r="E48" s="46">
        <v>43571</v>
      </c>
      <c r="F48" s="46" t="s">
        <v>94</v>
      </c>
      <c r="G48" s="22" t="str">
        <f t="shared" si="5"/>
        <v xml:space="preserve"> </v>
      </c>
      <c r="H48" s="22" t="str">
        <f t="shared" si="4"/>
        <v xml:space="preserve"> </v>
      </c>
    </row>
    <row r="49" spans="1:8" x14ac:dyDescent="0.25">
      <c r="A49" s="43" t="s">
        <v>76</v>
      </c>
      <c r="B49" s="44">
        <v>8902767</v>
      </c>
      <c r="C49" s="43" t="s">
        <v>89</v>
      </c>
      <c r="D49" s="45">
        <v>2</v>
      </c>
      <c r="E49" s="46">
        <v>43571</v>
      </c>
      <c r="F49" s="46" t="s">
        <v>94</v>
      </c>
      <c r="G49" s="22" t="str">
        <f t="shared" si="5"/>
        <v xml:space="preserve"> </v>
      </c>
      <c r="H49" s="22" t="str">
        <f t="shared" si="4"/>
        <v xml:space="preserve"> </v>
      </c>
    </row>
    <row r="50" spans="1:8" x14ac:dyDescent="0.25">
      <c r="A50" s="43" t="s">
        <v>74</v>
      </c>
      <c r="B50" s="44">
        <v>5002539</v>
      </c>
      <c r="C50" s="43" t="s">
        <v>88</v>
      </c>
      <c r="D50" s="45">
        <v>8</v>
      </c>
      <c r="E50" s="46">
        <v>43572</v>
      </c>
      <c r="F50" s="46" t="s">
        <v>95</v>
      </c>
      <c r="G50" s="22" t="str">
        <f t="shared" si="5"/>
        <v xml:space="preserve"> </v>
      </c>
      <c r="H50" s="22" t="str">
        <f t="shared" si="4"/>
        <v xml:space="preserve"> </v>
      </c>
    </row>
    <row r="51" spans="1:8" x14ac:dyDescent="0.25">
      <c r="A51" s="43" t="s">
        <v>80</v>
      </c>
      <c r="B51" s="44">
        <v>9215243</v>
      </c>
      <c r="C51" s="43" t="s">
        <v>91</v>
      </c>
      <c r="D51" s="45">
        <v>3</v>
      </c>
      <c r="E51" s="46">
        <v>43574</v>
      </c>
      <c r="F51" s="46" t="s">
        <v>97</v>
      </c>
      <c r="G51" s="22" t="str">
        <f t="shared" si="5"/>
        <v xml:space="preserve"> </v>
      </c>
      <c r="H51" s="22" t="str">
        <f t="shared" si="4"/>
        <v xml:space="preserve"> </v>
      </c>
    </row>
    <row r="52" spans="1:8" x14ac:dyDescent="0.25">
      <c r="A52" s="43" t="s">
        <v>70</v>
      </c>
      <c r="B52" s="44">
        <v>8981107</v>
      </c>
      <c r="C52" s="43" t="s">
        <v>89</v>
      </c>
      <c r="D52" s="45">
        <v>6</v>
      </c>
      <c r="E52" s="46">
        <v>43575</v>
      </c>
      <c r="F52" s="46" t="s">
        <v>98</v>
      </c>
      <c r="G52" s="22" t="str">
        <f t="shared" si="5"/>
        <v xml:space="preserve"> </v>
      </c>
      <c r="H52" s="22" t="str">
        <f t="shared" si="4"/>
        <v>weekend</v>
      </c>
    </row>
    <row r="53" spans="1:8" x14ac:dyDescent="0.25">
      <c r="A53" s="43" t="s">
        <v>76</v>
      </c>
      <c r="B53" s="44">
        <v>8902767</v>
      </c>
      <c r="C53" s="43" t="s">
        <v>89</v>
      </c>
      <c r="D53" s="45">
        <v>8</v>
      </c>
      <c r="E53" s="46">
        <v>43576</v>
      </c>
      <c r="F53" s="46" t="s">
        <v>99</v>
      </c>
      <c r="G53" s="22" t="str">
        <f t="shared" si="5"/>
        <v>***</v>
      </c>
      <c r="H53" s="22" t="str">
        <f t="shared" si="4"/>
        <v>weekend</v>
      </c>
    </row>
    <row r="54" spans="1:8" x14ac:dyDescent="0.25">
      <c r="A54" s="43" t="s">
        <v>85</v>
      </c>
      <c r="B54" s="44">
        <v>1837361</v>
      </c>
      <c r="C54" s="43" t="s">
        <v>88</v>
      </c>
      <c r="D54" s="45">
        <v>7</v>
      </c>
      <c r="E54" s="46">
        <v>43577</v>
      </c>
      <c r="F54" s="46" t="s">
        <v>93</v>
      </c>
      <c r="G54" s="22" t="str">
        <f t="shared" si="5"/>
        <v xml:space="preserve"> </v>
      </c>
      <c r="H54" s="22" t="str">
        <f t="shared" si="4"/>
        <v xml:space="preserve"> </v>
      </c>
    </row>
    <row r="55" spans="1:8" x14ac:dyDescent="0.25">
      <c r="A55" s="43" t="s">
        <v>83</v>
      </c>
      <c r="B55" s="44">
        <v>1504751</v>
      </c>
      <c r="C55" s="43" t="s">
        <v>90</v>
      </c>
      <c r="D55" s="45">
        <v>3</v>
      </c>
      <c r="E55" s="46">
        <v>43578</v>
      </c>
      <c r="F55" s="46" t="s">
        <v>94</v>
      </c>
      <c r="G55" s="22" t="str">
        <f t="shared" si="5"/>
        <v xml:space="preserve"> </v>
      </c>
      <c r="H55" s="22" t="str">
        <f t="shared" si="4"/>
        <v xml:space="preserve"> </v>
      </c>
    </row>
    <row r="56" spans="1:8" x14ac:dyDescent="0.25">
      <c r="A56" s="43" t="s">
        <v>83</v>
      </c>
      <c r="B56" s="44">
        <v>1504751</v>
      </c>
      <c r="C56" s="43" t="s">
        <v>90</v>
      </c>
      <c r="D56" s="45">
        <v>1</v>
      </c>
      <c r="E56" s="46">
        <v>43578</v>
      </c>
      <c r="F56" s="46" t="s">
        <v>94</v>
      </c>
      <c r="G56" s="22" t="str">
        <f t="shared" si="5"/>
        <v xml:space="preserve"> </v>
      </c>
      <c r="H56" s="22" t="str">
        <f t="shared" si="4"/>
        <v xml:space="preserve"> </v>
      </c>
    </row>
    <row r="57" spans="1:8" x14ac:dyDescent="0.25">
      <c r="A57" s="43" t="s">
        <v>81</v>
      </c>
      <c r="B57" s="44">
        <v>6824210</v>
      </c>
      <c r="C57" s="43" t="s">
        <v>88</v>
      </c>
      <c r="D57" s="45">
        <v>9</v>
      </c>
      <c r="E57" s="46">
        <v>43579</v>
      </c>
      <c r="F57" s="46" t="s">
        <v>95</v>
      </c>
      <c r="G57" s="22" t="str">
        <f t="shared" si="5"/>
        <v xml:space="preserve"> </v>
      </c>
      <c r="H57" s="22" t="str">
        <f t="shared" si="4"/>
        <v xml:space="preserve"> </v>
      </c>
    </row>
    <row r="58" spans="1:8" x14ac:dyDescent="0.25">
      <c r="A58" s="43" t="s">
        <v>82</v>
      </c>
      <c r="B58" s="44">
        <v>3652883</v>
      </c>
      <c r="C58" s="43" t="s">
        <v>89</v>
      </c>
      <c r="D58" s="45">
        <v>2</v>
      </c>
      <c r="E58" s="46">
        <v>43579</v>
      </c>
      <c r="F58" s="46" t="s">
        <v>95</v>
      </c>
      <c r="G58" s="22" t="str">
        <f t="shared" si="5"/>
        <v xml:space="preserve"> </v>
      </c>
      <c r="H58" s="22" t="str">
        <f t="shared" si="4"/>
        <v xml:space="preserve"> </v>
      </c>
    </row>
    <row r="59" spans="1:8" x14ac:dyDescent="0.25">
      <c r="A59" s="43" t="s">
        <v>87</v>
      </c>
      <c r="B59" s="44">
        <v>8935923</v>
      </c>
      <c r="C59" s="43" t="s">
        <v>92</v>
      </c>
      <c r="D59" s="45">
        <v>10</v>
      </c>
      <c r="E59" s="46">
        <v>43582</v>
      </c>
      <c r="F59" s="46" t="s">
        <v>98</v>
      </c>
      <c r="G59" s="22" t="str">
        <f t="shared" si="5"/>
        <v xml:space="preserve"> </v>
      </c>
      <c r="H59" s="22" t="str">
        <f t="shared" si="4"/>
        <v>weekend</v>
      </c>
    </row>
    <row r="60" spans="1:8" x14ac:dyDescent="0.25">
      <c r="A60" s="43" t="s">
        <v>79</v>
      </c>
      <c r="B60" s="44">
        <v>1959356</v>
      </c>
      <c r="C60" s="43" t="s">
        <v>90</v>
      </c>
      <c r="D60" s="45">
        <v>8</v>
      </c>
      <c r="E60" s="46">
        <v>43586</v>
      </c>
      <c r="F60" s="46" t="s">
        <v>95</v>
      </c>
      <c r="G60" s="22" t="str">
        <f t="shared" si="5"/>
        <v xml:space="preserve"> </v>
      </c>
      <c r="H60" s="22" t="str">
        <f t="shared" si="4"/>
        <v xml:space="preserve"> </v>
      </c>
    </row>
    <row r="61" spans="1:8" x14ac:dyDescent="0.25">
      <c r="A61" s="43" t="s">
        <v>78</v>
      </c>
      <c r="B61" s="44">
        <v>6798420</v>
      </c>
      <c r="C61" s="43" t="s">
        <v>90</v>
      </c>
      <c r="D61" s="45">
        <v>1</v>
      </c>
      <c r="E61" s="46">
        <v>43586</v>
      </c>
      <c r="F61" s="46" t="s">
        <v>95</v>
      </c>
      <c r="G61" s="22" t="str">
        <f t="shared" si="5"/>
        <v xml:space="preserve"> </v>
      </c>
      <c r="H61" s="22" t="str">
        <f t="shared" si="4"/>
        <v xml:space="preserve"> </v>
      </c>
    </row>
    <row r="62" spans="1:8" x14ac:dyDescent="0.25">
      <c r="A62" s="43" t="s">
        <v>81</v>
      </c>
      <c r="B62" s="44">
        <v>6824210</v>
      </c>
      <c r="C62" s="43" t="s">
        <v>90</v>
      </c>
      <c r="D62" s="45">
        <v>3</v>
      </c>
      <c r="E62" s="46">
        <v>43587</v>
      </c>
      <c r="F62" s="46" t="s">
        <v>96</v>
      </c>
      <c r="G62" s="22" t="str">
        <f t="shared" si="5"/>
        <v xml:space="preserve"> </v>
      </c>
      <c r="H62" s="22" t="str">
        <f t="shared" si="4"/>
        <v xml:space="preserve"> </v>
      </c>
    </row>
    <row r="63" spans="1:8" x14ac:dyDescent="0.25">
      <c r="A63" s="43" t="s">
        <v>77</v>
      </c>
      <c r="B63" s="44">
        <v>8064615</v>
      </c>
      <c r="C63" s="43" t="s">
        <v>90</v>
      </c>
      <c r="D63" s="45">
        <v>3</v>
      </c>
      <c r="E63" s="46">
        <v>43587</v>
      </c>
      <c r="F63" s="46" t="s">
        <v>96</v>
      </c>
      <c r="G63" s="22" t="str">
        <f t="shared" si="5"/>
        <v xml:space="preserve"> </v>
      </c>
      <c r="H63" s="22" t="str">
        <f t="shared" si="4"/>
        <v xml:space="preserve"> </v>
      </c>
    </row>
    <row r="64" spans="1:8" x14ac:dyDescent="0.25">
      <c r="A64" s="43" t="s">
        <v>73</v>
      </c>
      <c r="B64" s="44">
        <v>4561956</v>
      </c>
      <c r="C64" s="43" t="s">
        <v>90</v>
      </c>
      <c r="D64" s="45">
        <v>7</v>
      </c>
      <c r="E64" s="46">
        <v>43588</v>
      </c>
      <c r="F64" s="46" t="s">
        <v>97</v>
      </c>
      <c r="G64" s="22" t="str">
        <f t="shared" si="5"/>
        <v xml:space="preserve"> </v>
      </c>
      <c r="H64" s="22" t="str">
        <f t="shared" si="4"/>
        <v xml:space="preserve"> </v>
      </c>
    </row>
    <row r="65" spans="1:8" x14ac:dyDescent="0.25">
      <c r="A65" s="43" t="s">
        <v>66</v>
      </c>
      <c r="B65" s="44">
        <v>7379504</v>
      </c>
      <c r="C65" s="43" t="s">
        <v>90</v>
      </c>
      <c r="D65" s="45">
        <v>7</v>
      </c>
      <c r="E65" s="46">
        <v>43589</v>
      </c>
      <c r="F65" s="46" t="s">
        <v>98</v>
      </c>
      <c r="G65" s="22" t="str">
        <f t="shared" si="5"/>
        <v xml:space="preserve"> </v>
      </c>
      <c r="H65" s="22" t="str">
        <f t="shared" si="4"/>
        <v>weekend</v>
      </c>
    </row>
    <row r="66" spans="1:8" x14ac:dyDescent="0.25">
      <c r="A66" s="43" t="s">
        <v>78</v>
      </c>
      <c r="B66" s="44">
        <v>6798420</v>
      </c>
      <c r="C66" s="43" t="s">
        <v>89</v>
      </c>
      <c r="D66" s="45">
        <v>3</v>
      </c>
      <c r="E66" s="46">
        <v>43590</v>
      </c>
      <c r="F66" s="46" t="s">
        <v>99</v>
      </c>
      <c r="G66" s="22" t="str">
        <f t="shared" si="5"/>
        <v xml:space="preserve"> </v>
      </c>
      <c r="H66" s="22" t="str">
        <f t="shared" si="4"/>
        <v>weekend</v>
      </c>
    </row>
    <row r="67" spans="1:8" x14ac:dyDescent="0.25">
      <c r="A67" s="43" t="s">
        <v>69</v>
      </c>
      <c r="B67" s="44">
        <v>1719949</v>
      </c>
      <c r="C67" s="43" t="s">
        <v>90</v>
      </c>
      <c r="D67" s="45">
        <v>8</v>
      </c>
      <c r="E67" s="46">
        <v>43590</v>
      </c>
      <c r="F67" s="46" t="s">
        <v>99</v>
      </c>
      <c r="G67" s="22" t="str">
        <f t="shared" si="5"/>
        <v>***</v>
      </c>
      <c r="H67" s="22" t="str">
        <f t="shared" si="4"/>
        <v>weekend</v>
      </c>
    </row>
    <row r="68" spans="1:8" x14ac:dyDescent="0.25">
      <c r="A68" s="43" t="s">
        <v>74</v>
      </c>
      <c r="B68" s="44">
        <v>5002539</v>
      </c>
      <c r="C68" s="43" t="s">
        <v>90</v>
      </c>
      <c r="D68" s="45">
        <v>8</v>
      </c>
      <c r="E68" s="46">
        <v>43590</v>
      </c>
      <c r="F68" s="46" t="s">
        <v>99</v>
      </c>
      <c r="G68" s="22" t="str">
        <f t="shared" si="5"/>
        <v>***</v>
      </c>
      <c r="H68" s="22" t="str">
        <f t="shared" si="4"/>
        <v>weekend</v>
      </c>
    </row>
    <row r="69" spans="1:8" x14ac:dyDescent="0.25">
      <c r="A69" s="43" t="s">
        <v>77</v>
      </c>
      <c r="B69" s="44">
        <v>8064615</v>
      </c>
      <c r="C69" s="43" t="s">
        <v>88</v>
      </c>
      <c r="D69" s="45">
        <v>8</v>
      </c>
      <c r="E69" s="46">
        <v>43591</v>
      </c>
      <c r="F69" s="46" t="s">
        <v>93</v>
      </c>
      <c r="G69" s="22" t="str">
        <f t="shared" si="5"/>
        <v xml:space="preserve"> </v>
      </c>
      <c r="H69" s="22" t="str">
        <f t="shared" si="4"/>
        <v xml:space="preserve"> </v>
      </c>
    </row>
    <row r="70" spans="1:8" x14ac:dyDescent="0.25">
      <c r="A70" s="43" t="s">
        <v>83</v>
      </c>
      <c r="B70" s="44">
        <v>1504751</v>
      </c>
      <c r="C70" s="43" t="s">
        <v>91</v>
      </c>
      <c r="D70" s="45">
        <v>3</v>
      </c>
      <c r="E70" s="46">
        <v>43591</v>
      </c>
      <c r="F70" s="46" t="s">
        <v>93</v>
      </c>
      <c r="G70" s="22" t="str">
        <f t="shared" si="5"/>
        <v xml:space="preserve"> </v>
      </c>
      <c r="H70" s="22" t="str">
        <f t="shared" si="4"/>
        <v xml:space="preserve"> </v>
      </c>
    </row>
    <row r="71" spans="1:8" x14ac:dyDescent="0.25">
      <c r="A71" s="43" t="s">
        <v>68</v>
      </c>
      <c r="B71" s="44">
        <v>3114039</v>
      </c>
      <c r="C71" s="43" t="s">
        <v>92</v>
      </c>
      <c r="D71" s="45">
        <v>2</v>
      </c>
      <c r="E71" s="46">
        <v>43593</v>
      </c>
      <c r="F71" s="46" t="s">
        <v>95</v>
      </c>
      <c r="G71" s="22" t="str">
        <f t="shared" si="5"/>
        <v xml:space="preserve"> </v>
      </c>
      <c r="H71" s="22" t="str">
        <f t="shared" si="4"/>
        <v xml:space="preserve"> </v>
      </c>
    </row>
    <row r="72" spans="1:8" x14ac:dyDescent="0.25">
      <c r="A72" s="43" t="s">
        <v>65</v>
      </c>
      <c r="B72" s="44">
        <v>3896876</v>
      </c>
      <c r="C72" s="43" t="s">
        <v>91</v>
      </c>
      <c r="D72" s="45">
        <v>4</v>
      </c>
      <c r="E72" s="46">
        <v>43594</v>
      </c>
      <c r="F72" s="46" t="s">
        <v>96</v>
      </c>
      <c r="G72" s="22" t="str">
        <f t="shared" si="5"/>
        <v xml:space="preserve"> </v>
      </c>
      <c r="H72" s="22" t="str">
        <f t="shared" si="4"/>
        <v xml:space="preserve"> </v>
      </c>
    </row>
    <row r="73" spans="1:8" x14ac:dyDescent="0.25">
      <c r="A73" s="43" t="s">
        <v>69</v>
      </c>
      <c r="B73" s="44">
        <v>1719949</v>
      </c>
      <c r="C73" s="43" t="s">
        <v>90</v>
      </c>
      <c r="D73" s="45">
        <v>10</v>
      </c>
      <c r="E73" s="46">
        <v>43594</v>
      </c>
      <c r="F73" s="46" t="s">
        <v>96</v>
      </c>
      <c r="G73" s="22" t="str">
        <f t="shared" si="5"/>
        <v xml:space="preserve"> </v>
      </c>
      <c r="H73" s="22" t="str">
        <f t="shared" si="4"/>
        <v xml:space="preserve"> </v>
      </c>
    </row>
    <row r="74" spans="1:8" x14ac:dyDescent="0.25">
      <c r="A74" s="43" t="s">
        <v>77</v>
      </c>
      <c r="B74" s="44">
        <v>8064615</v>
      </c>
      <c r="C74" s="43" t="s">
        <v>89</v>
      </c>
      <c r="D74" s="45">
        <v>2</v>
      </c>
      <c r="E74" s="46">
        <v>43594</v>
      </c>
      <c r="F74" s="46" t="s">
        <v>96</v>
      </c>
      <c r="G74" s="22" t="str">
        <f t="shared" si="5"/>
        <v xml:space="preserve"> </v>
      </c>
      <c r="H74" s="22" t="str">
        <f t="shared" si="4"/>
        <v xml:space="preserve"> </v>
      </c>
    </row>
    <row r="75" spans="1:8" x14ac:dyDescent="0.25">
      <c r="A75" s="43" t="s">
        <v>76</v>
      </c>
      <c r="B75" s="44">
        <v>8902767</v>
      </c>
      <c r="C75" s="43" t="s">
        <v>89</v>
      </c>
      <c r="D75" s="45">
        <v>7</v>
      </c>
      <c r="E75" s="46">
        <v>43596</v>
      </c>
      <c r="F75" s="46" t="s">
        <v>98</v>
      </c>
      <c r="G75" s="22" t="str">
        <f t="shared" si="5"/>
        <v xml:space="preserve"> </v>
      </c>
      <c r="H75" s="22" t="str">
        <f t="shared" si="4"/>
        <v>weekend</v>
      </c>
    </row>
    <row r="76" spans="1:8" x14ac:dyDescent="0.25">
      <c r="A76" s="43" t="s">
        <v>74</v>
      </c>
      <c r="B76" s="44">
        <v>5002539</v>
      </c>
      <c r="C76" s="43" t="s">
        <v>90</v>
      </c>
      <c r="D76" s="45">
        <v>2</v>
      </c>
      <c r="E76" s="46">
        <v>43597</v>
      </c>
      <c r="F76" s="46" t="s">
        <v>99</v>
      </c>
      <c r="G76" s="22" t="str">
        <f t="shared" si="5"/>
        <v xml:space="preserve"> </v>
      </c>
      <c r="H76" s="22" t="str">
        <f t="shared" si="4"/>
        <v>weekend</v>
      </c>
    </row>
    <row r="77" spans="1:8" x14ac:dyDescent="0.25">
      <c r="A77" s="43" t="s">
        <v>72</v>
      </c>
      <c r="B77" s="44">
        <v>1348405</v>
      </c>
      <c r="C77" s="43" t="s">
        <v>88</v>
      </c>
      <c r="D77" s="45">
        <v>5</v>
      </c>
      <c r="E77" s="46">
        <v>43597</v>
      </c>
      <c r="F77" s="46" t="s">
        <v>99</v>
      </c>
      <c r="G77" s="22" t="str">
        <f t="shared" si="5"/>
        <v xml:space="preserve"> </v>
      </c>
      <c r="H77" s="22" t="str">
        <f t="shared" si="4"/>
        <v>weekend</v>
      </c>
    </row>
    <row r="78" spans="1:8" x14ac:dyDescent="0.25">
      <c r="A78" s="43" t="s">
        <v>81</v>
      </c>
      <c r="B78" s="44">
        <v>6824210</v>
      </c>
      <c r="C78" s="43" t="s">
        <v>91</v>
      </c>
      <c r="D78" s="45">
        <v>5</v>
      </c>
      <c r="E78" s="46">
        <v>43598</v>
      </c>
      <c r="F78" s="46" t="s">
        <v>93</v>
      </c>
      <c r="G78" s="22" t="str">
        <f t="shared" si="5"/>
        <v xml:space="preserve"> </v>
      </c>
      <c r="H78" s="22" t="str">
        <f t="shared" si="4"/>
        <v xml:space="preserve"> </v>
      </c>
    </row>
    <row r="79" spans="1:8" x14ac:dyDescent="0.25">
      <c r="A79" s="43" t="s">
        <v>85</v>
      </c>
      <c r="B79" s="44">
        <v>1837361</v>
      </c>
      <c r="C79" s="43" t="s">
        <v>91</v>
      </c>
      <c r="D79" s="45">
        <v>7</v>
      </c>
      <c r="E79" s="46">
        <v>43598</v>
      </c>
      <c r="F79" s="46" t="s">
        <v>93</v>
      </c>
      <c r="G79" s="22" t="str">
        <f t="shared" si="5"/>
        <v xml:space="preserve"> </v>
      </c>
      <c r="H79" s="22" t="str">
        <f t="shared" si="4"/>
        <v xml:space="preserve"> </v>
      </c>
    </row>
    <row r="80" spans="1:8" x14ac:dyDescent="0.25">
      <c r="A80" s="43" t="s">
        <v>83</v>
      </c>
      <c r="B80" s="44">
        <v>1504751</v>
      </c>
      <c r="C80" s="43" t="s">
        <v>91</v>
      </c>
      <c r="D80" s="45">
        <v>9</v>
      </c>
      <c r="E80" s="46">
        <v>43599</v>
      </c>
      <c r="F80" s="46" t="s">
        <v>94</v>
      </c>
      <c r="G80" s="22" t="str">
        <f t="shared" si="5"/>
        <v xml:space="preserve"> </v>
      </c>
      <c r="H80" s="22" t="str">
        <f t="shared" si="4"/>
        <v xml:space="preserve"> </v>
      </c>
    </row>
    <row r="81" spans="1:8" x14ac:dyDescent="0.25">
      <c r="A81" s="43" t="s">
        <v>87</v>
      </c>
      <c r="B81" s="44">
        <v>8935923</v>
      </c>
      <c r="C81" s="43" t="s">
        <v>90</v>
      </c>
      <c r="D81" s="45">
        <v>4</v>
      </c>
      <c r="E81" s="46">
        <v>43599</v>
      </c>
      <c r="F81" s="46" t="s">
        <v>94</v>
      </c>
      <c r="G81" s="22" t="str">
        <f t="shared" si="5"/>
        <v xml:space="preserve"> </v>
      </c>
      <c r="H81" s="22" t="str">
        <f t="shared" si="4"/>
        <v xml:space="preserve"> </v>
      </c>
    </row>
    <row r="82" spans="1:8" x14ac:dyDescent="0.25">
      <c r="A82" s="43" t="s">
        <v>78</v>
      </c>
      <c r="B82" s="44">
        <v>6798420</v>
      </c>
      <c r="C82" s="43" t="s">
        <v>90</v>
      </c>
      <c r="D82" s="45">
        <v>8</v>
      </c>
      <c r="E82" s="46">
        <v>43601</v>
      </c>
      <c r="F82" s="46" t="s">
        <v>96</v>
      </c>
      <c r="G82" s="22" t="str">
        <f t="shared" si="5"/>
        <v xml:space="preserve"> </v>
      </c>
      <c r="H82" s="22" t="str">
        <f t="shared" si="4"/>
        <v xml:space="preserve"> </v>
      </c>
    </row>
    <row r="83" spans="1:8" x14ac:dyDescent="0.25">
      <c r="A83" s="43" t="s">
        <v>71</v>
      </c>
      <c r="B83" s="44">
        <v>3476423</v>
      </c>
      <c r="C83" s="43" t="s">
        <v>89</v>
      </c>
      <c r="D83" s="45">
        <v>3</v>
      </c>
      <c r="E83" s="46">
        <v>43601</v>
      </c>
      <c r="F83" s="46" t="s">
        <v>96</v>
      </c>
      <c r="G83" s="22" t="str">
        <f t="shared" si="5"/>
        <v xml:space="preserve"> </v>
      </c>
      <c r="H83" s="22" t="str">
        <f t="shared" si="4"/>
        <v xml:space="preserve"> </v>
      </c>
    </row>
    <row r="84" spans="1:8" x14ac:dyDescent="0.25">
      <c r="A84" s="43" t="s">
        <v>83</v>
      </c>
      <c r="B84" s="44">
        <v>1504751</v>
      </c>
      <c r="C84" s="43" t="s">
        <v>88</v>
      </c>
      <c r="D84" s="45">
        <v>5</v>
      </c>
      <c r="E84" s="46">
        <v>43602</v>
      </c>
      <c r="F84" s="46" t="s">
        <v>97</v>
      </c>
      <c r="G84" s="22" t="str">
        <f t="shared" si="5"/>
        <v xml:space="preserve"> </v>
      </c>
      <c r="H84" s="22" t="str">
        <f t="shared" si="4"/>
        <v xml:space="preserve"> </v>
      </c>
    </row>
    <row r="85" spans="1:8" x14ac:dyDescent="0.25">
      <c r="A85" s="43" t="s">
        <v>84</v>
      </c>
      <c r="B85" s="44">
        <v>9741735</v>
      </c>
      <c r="C85" s="43" t="s">
        <v>90</v>
      </c>
      <c r="D85" s="45">
        <v>6</v>
      </c>
      <c r="E85" s="46">
        <v>43602</v>
      </c>
      <c r="F85" s="46" t="s">
        <v>97</v>
      </c>
      <c r="G85" s="22" t="str">
        <f t="shared" si="5"/>
        <v xml:space="preserve"> </v>
      </c>
      <c r="H85" s="22" t="str">
        <f t="shared" si="4"/>
        <v xml:space="preserve"> </v>
      </c>
    </row>
    <row r="86" spans="1:8" x14ac:dyDescent="0.25">
      <c r="A86" s="43" t="s">
        <v>70</v>
      </c>
      <c r="B86" s="44">
        <v>8981107</v>
      </c>
      <c r="C86" s="43" t="s">
        <v>89</v>
      </c>
      <c r="D86" s="45">
        <v>1</v>
      </c>
      <c r="E86" s="46">
        <v>43603</v>
      </c>
      <c r="F86" s="46" t="s">
        <v>98</v>
      </c>
      <c r="G86" s="22" t="str">
        <f t="shared" si="5"/>
        <v xml:space="preserve"> </v>
      </c>
      <c r="H86" s="22" t="str">
        <f t="shared" si="4"/>
        <v>weekend</v>
      </c>
    </row>
    <row r="87" spans="1:8" x14ac:dyDescent="0.25">
      <c r="A87" s="43" t="s">
        <v>82</v>
      </c>
      <c r="B87" s="44">
        <v>3652883</v>
      </c>
      <c r="C87" s="43" t="s">
        <v>92</v>
      </c>
      <c r="D87" s="45">
        <v>1</v>
      </c>
      <c r="E87" s="46">
        <v>43603</v>
      </c>
      <c r="F87" s="46" t="s">
        <v>98</v>
      </c>
      <c r="G87" s="22" t="str">
        <f t="shared" si="5"/>
        <v xml:space="preserve"> </v>
      </c>
      <c r="H87" s="22" t="str">
        <f t="shared" si="4"/>
        <v>weekend</v>
      </c>
    </row>
    <row r="88" spans="1:8" x14ac:dyDescent="0.25">
      <c r="A88" s="43" t="s">
        <v>71</v>
      </c>
      <c r="B88" s="44">
        <v>3476423</v>
      </c>
      <c r="C88" s="43" t="s">
        <v>91</v>
      </c>
      <c r="D88" s="45">
        <v>7</v>
      </c>
      <c r="E88" s="46">
        <v>43605</v>
      </c>
      <c r="F88" s="46" t="s">
        <v>93</v>
      </c>
      <c r="G88" s="22" t="str">
        <f t="shared" si="5"/>
        <v xml:space="preserve"> </v>
      </c>
      <c r="H88" s="22" t="str">
        <f t="shared" si="4"/>
        <v xml:space="preserve"> </v>
      </c>
    </row>
    <row r="89" spans="1:8" x14ac:dyDescent="0.25">
      <c r="A89" s="43" t="s">
        <v>86</v>
      </c>
      <c r="B89" s="44">
        <v>7285051</v>
      </c>
      <c r="C89" s="43" t="s">
        <v>91</v>
      </c>
      <c r="D89" s="45">
        <v>10</v>
      </c>
      <c r="E89" s="46">
        <v>43609</v>
      </c>
      <c r="F89" s="46" t="s">
        <v>97</v>
      </c>
      <c r="G89" s="22" t="str">
        <f t="shared" si="5"/>
        <v xml:space="preserve"> </v>
      </c>
      <c r="H89" s="22" t="str">
        <f t="shared" si="4"/>
        <v xml:space="preserve"> </v>
      </c>
    </row>
    <row r="90" spans="1:8" x14ac:dyDescent="0.25">
      <c r="A90" s="43" t="s">
        <v>79</v>
      </c>
      <c r="B90" s="44">
        <v>1959356</v>
      </c>
      <c r="C90" s="43" t="s">
        <v>92</v>
      </c>
      <c r="D90" s="45">
        <v>5</v>
      </c>
      <c r="E90" s="46">
        <v>43610</v>
      </c>
      <c r="F90" s="46" t="s">
        <v>98</v>
      </c>
      <c r="G90" s="22" t="str">
        <f t="shared" si="5"/>
        <v xml:space="preserve"> </v>
      </c>
      <c r="H90" s="22" t="str">
        <f t="shared" si="4"/>
        <v>weekend</v>
      </c>
    </row>
    <row r="91" spans="1:8" x14ac:dyDescent="0.25">
      <c r="A91" s="43" t="s">
        <v>85</v>
      </c>
      <c r="B91" s="44">
        <v>1837361</v>
      </c>
      <c r="C91" s="43" t="s">
        <v>91</v>
      </c>
      <c r="D91" s="45">
        <v>7</v>
      </c>
      <c r="E91" s="46">
        <v>43610</v>
      </c>
      <c r="F91" s="46" t="s">
        <v>98</v>
      </c>
      <c r="G91" s="22" t="str">
        <f t="shared" si="5"/>
        <v xml:space="preserve"> </v>
      </c>
      <c r="H91" s="22" t="str">
        <f t="shared" si="4"/>
        <v>weekend</v>
      </c>
    </row>
    <row r="92" spans="1:8" x14ac:dyDescent="0.25">
      <c r="A92" s="43" t="s">
        <v>86</v>
      </c>
      <c r="B92" s="44">
        <v>7285051</v>
      </c>
      <c r="C92" s="43" t="s">
        <v>91</v>
      </c>
      <c r="D92" s="45">
        <v>3</v>
      </c>
      <c r="E92" s="46">
        <v>43613</v>
      </c>
      <c r="F92" s="46" t="s">
        <v>94</v>
      </c>
      <c r="G92" s="22" t="str">
        <f t="shared" si="5"/>
        <v xml:space="preserve"> </v>
      </c>
      <c r="H92" s="22" t="str">
        <f t="shared" si="4"/>
        <v xml:space="preserve"> </v>
      </c>
    </row>
    <row r="93" spans="1:8" x14ac:dyDescent="0.25">
      <c r="A93" s="43" t="s">
        <v>79</v>
      </c>
      <c r="B93" s="44">
        <v>1959356</v>
      </c>
      <c r="C93" s="43" t="s">
        <v>89</v>
      </c>
      <c r="D93" s="45">
        <v>2</v>
      </c>
      <c r="E93" s="46">
        <v>43615</v>
      </c>
      <c r="F93" s="46" t="s">
        <v>96</v>
      </c>
      <c r="G93" s="22" t="str">
        <f t="shared" si="5"/>
        <v xml:space="preserve"> </v>
      </c>
      <c r="H93" s="22" t="str">
        <f t="shared" si="4"/>
        <v xml:space="preserve"> </v>
      </c>
    </row>
    <row r="94" spans="1:8" x14ac:dyDescent="0.25">
      <c r="A94" s="43" t="s">
        <v>73</v>
      </c>
      <c r="B94" s="44">
        <v>4561956</v>
      </c>
      <c r="C94" s="43" t="s">
        <v>90</v>
      </c>
      <c r="D94" s="45">
        <v>2</v>
      </c>
      <c r="E94" s="46">
        <v>43616</v>
      </c>
      <c r="F94" s="46" t="s">
        <v>97</v>
      </c>
      <c r="G94" s="22" t="str">
        <f t="shared" si="5"/>
        <v xml:space="preserve"> </v>
      </c>
      <c r="H94" s="22" t="str">
        <f t="shared" si="4"/>
        <v xml:space="preserve"> </v>
      </c>
    </row>
    <row r="95" spans="1:8" x14ac:dyDescent="0.25">
      <c r="A95" s="43" t="s">
        <v>67</v>
      </c>
      <c r="B95" s="44">
        <v>6444430</v>
      </c>
      <c r="C95" s="43" t="s">
        <v>88</v>
      </c>
      <c r="D95" s="45">
        <v>7</v>
      </c>
      <c r="E95" s="46">
        <v>43616</v>
      </c>
      <c r="F95" s="46" t="s">
        <v>97</v>
      </c>
      <c r="G95" s="22" t="str">
        <f t="shared" si="5"/>
        <v xml:space="preserve"> </v>
      </c>
      <c r="H95" s="22" t="str">
        <f t="shared" si="4"/>
        <v xml:space="preserve"> </v>
      </c>
    </row>
  </sheetData>
  <sortState xmlns:xlrd2="http://schemas.microsoft.com/office/spreadsheetml/2017/richdata2" ref="A36:E95">
    <sortCondition ref="E36:E95"/>
  </sortState>
  <mergeCells count="1">
    <mergeCell ref="A14:B14"/>
  </mergeCells>
  <phoneticPr fontId="6" type="noConversion"/>
  <conditionalFormatting sqref="A15:B19">
    <cfRule type="expression" dxfId="16" priority="4">
      <formula>$A$7=$A15</formula>
    </cfRule>
  </conditionalFormatting>
  <conditionalFormatting sqref="C36:C95 D36:D95">
    <cfRule type="expression" dxfId="15" priority="2">
      <formula xml:space="preserve"> $D36 &gt;AVERAGE($D$36:$D$95)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0FA7E-2E8D-4559-8F00-A5F556419294}">
  <sheetPr codeName="Sheet4"/>
  <dimension ref="A1:N79"/>
  <sheetViews>
    <sheetView workbookViewId="0">
      <selection activeCell="I17" sqref="I17"/>
    </sheetView>
  </sheetViews>
  <sheetFormatPr defaultColWidth="4.28515625" defaultRowHeight="15" x14ac:dyDescent="0.25"/>
  <cols>
    <col min="1" max="1" width="14" customWidth="1"/>
    <col min="2" max="2" width="14.140625" customWidth="1"/>
    <col min="3" max="3" width="10" bestFit="1" customWidth="1"/>
    <col min="4" max="4" width="8.28515625" bestFit="1" customWidth="1"/>
    <col min="5" max="5" width="10.140625" bestFit="1" customWidth="1"/>
    <col min="6" max="6" width="9.85546875" bestFit="1" customWidth="1"/>
    <col min="9" max="9" width="13.140625" customWidth="1"/>
    <col min="10" max="10" width="10" bestFit="1" customWidth="1"/>
    <col min="11" max="11" width="9.85546875" bestFit="1" customWidth="1"/>
    <col min="12" max="12" width="8.42578125" bestFit="1" customWidth="1"/>
    <col min="13" max="13" width="6.85546875" bestFit="1" customWidth="1"/>
    <col min="14" max="14" width="10.85546875" bestFit="1" customWidth="1"/>
  </cols>
  <sheetData>
    <row r="1" spans="1:14" ht="18.75" x14ac:dyDescent="0.3">
      <c r="A1" s="54" t="s">
        <v>106</v>
      </c>
      <c r="B1" s="55"/>
      <c r="C1" s="56"/>
      <c r="D1" s="56"/>
      <c r="E1" s="56"/>
      <c r="F1" s="56"/>
      <c r="G1" s="55"/>
      <c r="H1" s="56"/>
      <c r="I1" s="56"/>
    </row>
    <row r="2" spans="1:14" x14ac:dyDescent="0.25">
      <c r="A2" s="57" t="s">
        <v>150</v>
      </c>
      <c r="B2" s="58"/>
      <c r="C2" s="58"/>
      <c r="D2" s="58"/>
      <c r="E2" s="58"/>
      <c r="F2" s="58"/>
      <c r="G2" s="58"/>
      <c r="H2" s="58"/>
      <c r="I2" s="58"/>
    </row>
    <row r="3" spans="1:14" x14ac:dyDescent="0.25">
      <c r="A3" s="57" t="s">
        <v>151</v>
      </c>
      <c r="B3" s="58"/>
      <c r="C3" s="58"/>
      <c r="D3" s="58"/>
      <c r="E3" s="58"/>
      <c r="F3" s="58"/>
      <c r="G3" s="58"/>
      <c r="H3" s="58"/>
      <c r="I3" s="58"/>
    </row>
    <row r="4" spans="1:14" x14ac:dyDescent="0.25">
      <c r="A4" s="59" t="s">
        <v>152</v>
      </c>
      <c r="B4" s="60"/>
      <c r="C4" s="60"/>
      <c r="D4" s="60"/>
      <c r="E4" s="60"/>
      <c r="F4" s="60"/>
      <c r="G4" s="60"/>
      <c r="H4" s="60"/>
      <c r="I4" s="60"/>
    </row>
    <row r="6" spans="1:14" x14ac:dyDescent="0.25">
      <c r="A6" s="37" t="s">
        <v>178</v>
      </c>
      <c r="B6" s="36"/>
      <c r="C6" s="36"/>
      <c r="D6" s="36"/>
      <c r="E6" s="36"/>
      <c r="F6" s="36"/>
      <c r="I6" s="37" t="s">
        <v>113</v>
      </c>
      <c r="J6" s="37"/>
      <c r="K6" s="37"/>
      <c r="L6" s="37"/>
      <c r="M6" s="37"/>
      <c r="N6" s="37"/>
    </row>
    <row r="7" spans="1:14" x14ac:dyDescent="0.25">
      <c r="A7" s="53" t="s">
        <v>60</v>
      </c>
      <c r="B7" s="2" t="s">
        <v>63</v>
      </c>
      <c r="I7" s="37" t="s">
        <v>114</v>
      </c>
      <c r="J7" s="37"/>
      <c r="K7" s="37"/>
      <c r="L7" s="37"/>
      <c r="M7" s="37"/>
      <c r="N7" s="37"/>
    </row>
    <row r="8" spans="1:14" x14ac:dyDescent="0.25">
      <c r="A8" s="22">
        <f>DCOUNTA(A19:F79, A7, B7:B8)</f>
        <v>29</v>
      </c>
      <c r="B8" s="22" t="str">
        <f>"&gt;" &amp; AVERAGE(D20:D79)</f>
        <v>&gt;5.4</v>
      </c>
      <c r="I8" s="20" t="s">
        <v>112</v>
      </c>
      <c r="J8" s="2" t="s">
        <v>62</v>
      </c>
      <c r="K8" s="2" t="s">
        <v>100</v>
      </c>
    </row>
    <row r="9" spans="1:14" x14ac:dyDescent="0.25">
      <c r="I9" s="19">
        <f>HLOOKUP(J9, I19:N26, 6, FALSE)</f>
        <v>16.73</v>
      </c>
      <c r="J9" s="45" t="s">
        <v>90</v>
      </c>
      <c r="K9" s="51" t="s">
        <v>97</v>
      </c>
      <c r="L9">
        <f>VLOOKUP(K9, I19:N26, 4, FALSE)</f>
        <v>16.73</v>
      </c>
    </row>
    <row r="10" spans="1:14" x14ac:dyDescent="0.25">
      <c r="A10" s="37" t="s">
        <v>179</v>
      </c>
      <c r="B10" s="36"/>
      <c r="C10" s="36"/>
      <c r="D10" s="36"/>
      <c r="E10" s="36"/>
      <c r="F10" s="36"/>
    </row>
    <row r="11" spans="1:14" x14ac:dyDescent="0.25">
      <c r="A11" s="53" t="s">
        <v>63</v>
      </c>
      <c r="B11" s="2" t="s">
        <v>100</v>
      </c>
      <c r="C11" s="41" t="s">
        <v>62</v>
      </c>
      <c r="I11" s="37" t="s">
        <v>117</v>
      </c>
      <c r="J11" s="37"/>
      <c r="K11" s="37"/>
      <c r="L11" s="37"/>
      <c r="M11" s="37"/>
      <c r="N11" s="37"/>
    </row>
    <row r="12" spans="1:14" x14ac:dyDescent="0.25">
      <c r="A12" s="22">
        <f>DSUM(A19:F79, A11, B11:C13)</f>
        <v>16</v>
      </c>
      <c r="B12" s="52" t="s">
        <v>98</v>
      </c>
      <c r="C12" s="31" t="s">
        <v>185</v>
      </c>
      <c r="I12" s="37" t="s">
        <v>181</v>
      </c>
      <c r="J12" s="37"/>
      <c r="K12" s="37"/>
      <c r="L12" s="37"/>
      <c r="M12" s="37"/>
      <c r="N12" s="37"/>
    </row>
    <row r="13" spans="1:14" x14ac:dyDescent="0.25">
      <c r="A13" s="40"/>
      <c r="B13" s="52" t="s">
        <v>99</v>
      </c>
      <c r="C13" s="31" t="s">
        <v>185</v>
      </c>
    </row>
    <row r="14" spans="1:14" x14ac:dyDescent="0.25">
      <c r="I14" s="37" t="s">
        <v>115</v>
      </c>
      <c r="J14" s="36"/>
      <c r="K14" s="36"/>
      <c r="L14" s="36"/>
      <c r="M14" s="36"/>
      <c r="N14" s="36"/>
    </row>
    <row r="15" spans="1:14" x14ac:dyDescent="0.25">
      <c r="A15" s="37" t="s">
        <v>180</v>
      </c>
      <c r="B15" s="36"/>
      <c r="C15" s="36"/>
      <c r="D15" s="36"/>
      <c r="E15" s="36"/>
      <c r="F15" s="36"/>
      <c r="I15" s="37" t="s">
        <v>116</v>
      </c>
      <c r="J15" s="36"/>
      <c r="K15" s="36"/>
      <c r="L15" s="36"/>
      <c r="M15" s="36"/>
      <c r="N15" s="36"/>
    </row>
    <row r="16" spans="1:14" x14ac:dyDescent="0.25">
      <c r="A16" s="53" t="s">
        <v>60</v>
      </c>
      <c r="B16" s="2" t="s">
        <v>100</v>
      </c>
      <c r="C16" s="2" t="s">
        <v>63</v>
      </c>
      <c r="I16" s="20" t="s">
        <v>62</v>
      </c>
    </row>
    <row r="17" spans="1:14" x14ac:dyDescent="0.25">
      <c r="A17" s="22" t="str">
        <f>DGET(A19:F79, A16, B16:C17)</f>
        <v>A. Baker</v>
      </c>
      <c r="B17" s="52" t="s">
        <v>97</v>
      </c>
      <c r="C17" s="22">
        <f>DMAX(A19:F79, C16, B16:B17)</f>
        <v>11</v>
      </c>
      <c r="I17" s="22" t="str">
        <f>INDEX(I19:N26, 1, 5)</f>
        <v>pencils</v>
      </c>
    </row>
    <row r="19" spans="1:14" x14ac:dyDescent="0.25">
      <c r="A19" s="41" t="s">
        <v>60</v>
      </c>
      <c r="B19" s="2" t="s">
        <v>61</v>
      </c>
      <c r="C19" s="41" t="s">
        <v>62</v>
      </c>
      <c r="D19" s="2" t="s">
        <v>63</v>
      </c>
      <c r="E19" s="42" t="s">
        <v>64</v>
      </c>
      <c r="F19" s="41" t="s">
        <v>100</v>
      </c>
      <c r="I19" s="1" t="s">
        <v>112</v>
      </c>
      <c r="J19" s="2" t="s">
        <v>88</v>
      </c>
      <c r="K19" s="2" t="s">
        <v>89</v>
      </c>
      <c r="L19" s="2" t="s">
        <v>90</v>
      </c>
      <c r="M19" s="2" t="s">
        <v>91</v>
      </c>
      <c r="N19" s="2" t="s">
        <v>92</v>
      </c>
    </row>
    <row r="20" spans="1:14" x14ac:dyDescent="0.25">
      <c r="A20" s="43" t="s">
        <v>78</v>
      </c>
      <c r="B20" s="44">
        <v>6798420</v>
      </c>
      <c r="C20" s="43" t="s">
        <v>92</v>
      </c>
      <c r="D20" s="45">
        <v>15</v>
      </c>
      <c r="E20" s="46">
        <v>43558</v>
      </c>
      <c r="F20" s="46" t="s">
        <v>95</v>
      </c>
      <c r="I20" s="9" t="s">
        <v>93</v>
      </c>
      <c r="J20" s="14">
        <v>11.21</v>
      </c>
      <c r="K20" s="14">
        <v>13.57</v>
      </c>
      <c r="L20" s="14">
        <v>11.64</v>
      </c>
      <c r="M20" s="14">
        <v>13.72</v>
      </c>
      <c r="N20" s="14">
        <v>12.08</v>
      </c>
    </row>
    <row r="21" spans="1:14" x14ac:dyDescent="0.25">
      <c r="A21" s="43" t="s">
        <v>82</v>
      </c>
      <c r="B21" s="44">
        <v>3652883</v>
      </c>
      <c r="C21" s="43" t="s">
        <v>88</v>
      </c>
      <c r="D21" s="45">
        <v>6</v>
      </c>
      <c r="E21" s="46">
        <v>43559</v>
      </c>
      <c r="F21" s="46" t="s">
        <v>96</v>
      </c>
      <c r="I21" s="9" t="s">
        <v>94</v>
      </c>
      <c r="J21" s="14">
        <v>13.850000000000001</v>
      </c>
      <c r="K21" s="14">
        <v>14.5</v>
      </c>
      <c r="L21" s="14">
        <v>11.98</v>
      </c>
      <c r="M21" s="14">
        <v>15.16</v>
      </c>
      <c r="N21" s="14">
        <v>13.28</v>
      </c>
    </row>
    <row r="22" spans="1:14" x14ac:dyDescent="0.25">
      <c r="A22" s="43" t="s">
        <v>83</v>
      </c>
      <c r="B22" s="44">
        <v>1504751</v>
      </c>
      <c r="C22" s="43" t="s">
        <v>89</v>
      </c>
      <c r="D22" s="45">
        <v>5</v>
      </c>
      <c r="E22" s="46">
        <v>43563</v>
      </c>
      <c r="F22" s="46" t="s">
        <v>93</v>
      </c>
      <c r="I22" s="9" t="s">
        <v>95</v>
      </c>
      <c r="J22" s="14">
        <v>14.410000000000002</v>
      </c>
      <c r="K22" s="14">
        <v>16.509999999999998</v>
      </c>
      <c r="L22" s="14">
        <v>12.14</v>
      </c>
      <c r="M22" s="14">
        <v>17.77</v>
      </c>
      <c r="N22" s="14">
        <v>14.549999999999999</v>
      </c>
    </row>
    <row r="23" spans="1:14" x14ac:dyDescent="0.25">
      <c r="A23" s="43" t="s">
        <v>82</v>
      </c>
      <c r="B23" s="44">
        <v>3652883</v>
      </c>
      <c r="C23" s="43" t="s">
        <v>92</v>
      </c>
      <c r="D23" s="45">
        <v>4</v>
      </c>
      <c r="E23" s="46">
        <v>43563</v>
      </c>
      <c r="F23" s="46" t="s">
        <v>93</v>
      </c>
      <c r="I23" s="9" t="s">
        <v>96</v>
      </c>
      <c r="J23" s="14">
        <v>14.850000000000001</v>
      </c>
      <c r="K23" s="14">
        <v>16.839999999999996</v>
      </c>
      <c r="L23" s="14">
        <v>14.18</v>
      </c>
      <c r="M23" s="14">
        <v>17.899999999999999</v>
      </c>
      <c r="N23" s="14">
        <v>16.329999999999998</v>
      </c>
    </row>
    <row r="24" spans="1:14" x14ac:dyDescent="0.25">
      <c r="A24" s="43" t="s">
        <v>69</v>
      </c>
      <c r="B24" s="44">
        <v>1719949</v>
      </c>
      <c r="C24" s="43" t="s">
        <v>90</v>
      </c>
      <c r="D24" s="45">
        <v>3</v>
      </c>
      <c r="E24" s="46">
        <v>43564</v>
      </c>
      <c r="F24" s="46" t="s">
        <v>94</v>
      </c>
      <c r="I24" s="9" t="s">
        <v>97</v>
      </c>
      <c r="J24" s="14">
        <v>14.97</v>
      </c>
      <c r="K24" s="14">
        <v>17.599999999999998</v>
      </c>
      <c r="L24" s="14">
        <v>16.73</v>
      </c>
      <c r="M24" s="14">
        <v>20.189999999999998</v>
      </c>
      <c r="N24" s="14">
        <v>18.11</v>
      </c>
    </row>
    <row r="25" spans="1:14" x14ac:dyDescent="0.25">
      <c r="A25" s="43" t="s">
        <v>75</v>
      </c>
      <c r="B25" s="44">
        <v>8898296</v>
      </c>
      <c r="C25" s="43" t="s">
        <v>92</v>
      </c>
      <c r="D25" s="45">
        <v>9</v>
      </c>
      <c r="E25" s="46">
        <v>43564</v>
      </c>
      <c r="F25" s="46" t="s">
        <v>94</v>
      </c>
      <c r="I25" s="9" t="s">
        <v>98</v>
      </c>
      <c r="J25" s="14">
        <v>17.21</v>
      </c>
      <c r="K25" s="14">
        <v>19.619999999999997</v>
      </c>
      <c r="L25" s="14">
        <v>18.810000000000002</v>
      </c>
      <c r="M25" s="14">
        <v>22.339999999999996</v>
      </c>
      <c r="N25" s="14">
        <v>20.11</v>
      </c>
    </row>
    <row r="26" spans="1:14" x14ac:dyDescent="0.25">
      <c r="A26" s="43" t="s">
        <v>84</v>
      </c>
      <c r="B26" s="44">
        <v>9741735</v>
      </c>
      <c r="C26" s="43" t="s">
        <v>90</v>
      </c>
      <c r="D26" s="45">
        <v>9</v>
      </c>
      <c r="E26" s="46">
        <v>43564</v>
      </c>
      <c r="F26" s="46" t="s">
        <v>94</v>
      </c>
      <c r="I26" s="9" t="s">
        <v>99</v>
      </c>
      <c r="J26" s="14">
        <v>19.740000000000002</v>
      </c>
      <c r="K26" s="14">
        <v>21.31</v>
      </c>
      <c r="L26" s="14">
        <v>20.720000000000002</v>
      </c>
      <c r="M26" s="14">
        <v>22.569999999999997</v>
      </c>
      <c r="N26" s="14">
        <v>22.09</v>
      </c>
    </row>
    <row r="27" spans="1:14" x14ac:dyDescent="0.25">
      <c r="A27" s="43" t="s">
        <v>83</v>
      </c>
      <c r="B27" s="44">
        <v>1504751</v>
      </c>
      <c r="C27" s="43" t="s">
        <v>90</v>
      </c>
      <c r="D27" s="45">
        <v>2</v>
      </c>
      <c r="E27" s="46">
        <v>43565</v>
      </c>
      <c r="F27" s="46" t="s">
        <v>95</v>
      </c>
    </row>
    <row r="28" spans="1:14" x14ac:dyDescent="0.25">
      <c r="A28" s="43" t="s">
        <v>68</v>
      </c>
      <c r="B28" s="44">
        <v>3114039</v>
      </c>
      <c r="C28" s="43" t="s">
        <v>92</v>
      </c>
      <c r="D28" s="45">
        <v>8</v>
      </c>
      <c r="E28" s="46">
        <v>43566</v>
      </c>
      <c r="F28" s="46" t="s">
        <v>96</v>
      </c>
    </row>
    <row r="29" spans="1:14" x14ac:dyDescent="0.25">
      <c r="A29" s="43" t="s">
        <v>71</v>
      </c>
      <c r="B29" s="44">
        <v>3476423</v>
      </c>
      <c r="C29" s="43" t="s">
        <v>89</v>
      </c>
      <c r="D29" s="45">
        <v>10</v>
      </c>
      <c r="E29" s="46">
        <v>43567</v>
      </c>
      <c r="F29" s="46" t="s">
        <v>97</v>
      </c>
    </row>
    <row r="30" spans="1:14" x14ac:dyDescent="0.25">
      <c r="A30" s="43" t="s">
        <v>67</v>
      </c>
      <c r="B30" s="44">
        <v>6444430</v>
      </c>
      <c r="C30" s="43" t="s">
        <v>88</v>
      </c>
      <c r="D30" s="45">
        <v>7</v>
      </c>
      <c r="E30" s="46">
        <v>43569</v>
      </c>
      <c r="F30" s="46" t="s">
        <v>99</v>
      </c>
    </row>
    <row r="31" spans="1:14" x14ac:dyDescent="0.25">
      <c r="A31" s="43" t="s">
        <v>72</v>
      </c>
      <c r="B31" s="44">
        <v>1348405</v>
      </c>
      <c r="C31" s="43" t="s">
        <v>90</v>
      </c>
      <c r="D31" s="45">
        <v>1</v>
      </c>
      <c r="E31" s="46">
        <v>43570</v>
      </c>
      <c r="F31" s="46" t="s">
        <v>93</v>
      </c>
    </row>
    <row r="32" spans="1:14" x14ac:dyDescent="0.25">
      <c r="A32" s="43" t="s">
        <v>68</v>
      </c>
      <c r="B32" s="44">
        <v>3114039</v>
      </c>
      <c r="C32" s="43" t="s">
        <v>90</v>
      </c>
      <c r="D32" s="45">
        <v>3</v>
      </c>
      <c r="E32" s="46">
        <v>43571</v>
      </c>
      <c r="F32" s="46" t="s">
        <v>94</v>
      </c>
    </row>
    <row r="33" spans="1:6" x14ac:dyDescent="0.25">
      <c r="A33" s="43" t="s">
        <v>76</v>
      </c>
      <c r="B33" s="44">
        <v>8902767</v>
      </c>
      <c r="C33" s="43" t="s">
        <v>89</v>
      </c>
      <c r="D33" s="45">
        <v>2</v>
      </c>
      <c r="E33" s="46">
        <v>43571</v>
      </c>
      <c r="F33" s="46" t="s">
        <v>94</v>
      </c>
    </row>
    <row r="34" spans="1:6" x14ac:dyDescent="0.25">
      <c r="A34" s="43" t="s">
        <v>74</v>
      </c>
      <c r="B34" s="44">
        <v>5002539</v>
      </c>
      <c r="C34" s="43" t="s">
        <v>88</v>
      </c>
      <c r="D34" s="45">
        <v>8</v>
      </c>
      <c r="E34" s="46">
        <v>43572</v>
      </c>
      <c r="F34" s="46" t="s">
        <v>95</v>
      </c>
    </row>
    <row r="35" spans="1:6" x14ac:dyDescent="0.25">
      <c r="A35" s="43" t="s">
        <v>80</v>
      </c>
      <c r="B35" s="44">
        <v>9215243</v>
      </c>
      <c r="C35" s="43" t="s">
        <v>91</v>
      </c>
      <c r="D35" s="45">
        <v>3</v>
      </c>
      <c r="E35" s="46">
        <v>43574</v>
      </c>
      <c r="F35" s="46" t="s">
        <v>97</v>
      </c>
    </row>
    <row r="36" spans="1:6" x14ac:dyDescent="0.25">
      <c r="A36" s="43" t="s">
        <v>70</v>
      </c>
      <c r="B36" s="44">
        <v>8981107</v>
      </c>
      <c r="C36" s="43" t="s">
        <v>89</v>
      </c>
      <c r="D36" s="45">
        <v>6</v>
      </c>
      <c r="E36" s="46">
        <v>43575</v>
      </c>
      <c r="F36" s="46" t="s">
        <v>98</v>
      </c>
    </row>
    <row r="37" spans="1:6" x14ac:dyDescent="0.25">
      <c r="A37" s="43" t="s">
        <v>76</v>
      </c>
      <c r="B37" s="44">
        <v>8902767</v>
      </c>
      <c r="C37" s="43" t="s">
        <v>89</v>
      </c>
      <c r="D37" s="45">
        <v>8</v>
      </c>
      <c r="E37" s="46">
        <v>43576</v>
      </c>
      <c r="F37" s="46" t="s">
        <v>99</v>
      </c>
    </row>
    <row r="38" spans="1:6" x14ac:dyDescent="0.25">
      <c r="A38" s="43" t="s">
        <v>85</v>
      </c>
      <c r="B38" s="44">
        <v>1837361</v>
      </c>
      <c r="C38" s="43" t="s">
        <v>88</v>
      </c>
      <c r="D38" s="45">
        <v>7</v>
      </c>
      <c r="E38" s="46">
        <v>43577</v>
      </c>
      <c r="F38" s="46" t="s">
        <v>93</v>
      </c>
    </row>
    <row r="39" spans="1:6" x14ac:dyDescent="0.25">
      <c r="A39" s="43" t="s">
        <v>83</v>
      </c>
      <c r="B39" s="44">
        <v>1504751</v>
      </c>
      <c r="C39" s="43" t="s">
        <v>90</v>
      </c>
      <c r="D39" s="45">
        <v>3</v>
      </c>
      <c r="E39" s="46">
        <v>43578</v>
      </c>
      <c r="F39" s="46" t="s">
        <v>94</v>
      </c>
    </row>
    <row r="40" spans="1:6" x14ac:dyDescent="0.25">
      <c r="A40" s="43" t="s">
        <v>83</v>
      </c>
      <c r="B40" s="44">
        <v>1504751</v>
      </c>
      <c r="C40" s="43" t="s">
        <v>90</v>
      </c>
      <c r="D40" s="45">
        <v>1</v>
      </c>
      <c r="E40" s="46">
        <v>43578</v>
      </c>
      <c r="F40" s="46" t="s">
        <v>94</v>
      </c>
    </row>
    <row r="41" spans="1:6" x14ac:dyDescent="0.25">
      <c r="A41" s="43" t="s">
        <v>81</v>
      </c>
      <c r="B41" s="44">
        <v>6824210</v>
      </c>
      <c r="C41" s="43" t="s">
        <v>88</v>
      </c>
      <c r="D41" s="45">
        <v>9</v>
      </c>
      <c r="E41" s="46">
        <v>43579</v>
      </c>
      <c r="F41" s="46" t="s">
        <v>95</v>
      </c>
    </row>
    <row r="42" spans="1:6" x14ac:dyDescent="0.25">
      <c r="A42" s="43" t="s">
        <v>82</v>
      </c>
      <c r="B42" s="44">
        <v>3652883</v>
      </c>
      <c r="C42" s="43" t="s">
        <v>89</v>
      </c>
      <c r="D42" s="45">
        <v>2</v>
      </c>
      <c r="E42" s="46">
        <v>43579</v>
      </c>
      <c r="F42" s="46" t="s">
        <v>95</v>
      </c>
    </row>
    <row r="43" spans="1:6" x14ac:dyDescent="0.25">
      <c r="A43" s="43" t="s">
        <v>87</v>
      </c>
      <c r="B43" s="44">
        <v>8935923</v>
      </c>
      <c r="C43" s="43" t="s">
        <v>92</v>
      </c>
      <c r="D43" s="45">
        <v>10</v>
      </c>
      <c r="E43" s="46">
        <v>43582</v>
      </c>
      <c r="F43" s="46" t="s">
        <v>98</v>
      </c>
    </row>
    <row r="44" spans="1:6" x14ac:dyDescent="0.25">
      <c r="A44" s="43" t="s">
        <v>79</v>
      </c>
      <c r="B44" s="44">
        <v>1959356</v>
      </c>
      <c r="C44" s="43" t="s">
        <v>90</v>
      </c>
      <c r="D44" s="45">
        <v>8</v>
      </c>
      <c r="E44" s="46">
        <v>43586</v>
      </c>
      <c r="F44" s="46" t="s">
        <v>95</v>
      </c>
    </row>
    <row r="45" spans="1:6" x14ac:dyDescent="0.25">
      <c r="A45" s="43" t="s">
        <v>78</v>
      </c>
      <c r="B45" s="44">
        <v>6798420</v>
      </c>
      <c r="C45" s="43" t="s">
        <v>90</v>
      </c>
      <c r="D45" s="45">
        <v>1</v>
      </c>
      <c r="E45" s="46">
        <v>43586</v>
      </c>
      <c r="F45" s="46" t="s">
        <v>95</v>
      </c>
    </row>
    <row r="46" spans="1:6" x14ac:dyDescent="0.25">
      <c r="A46" s="43" t="s">
        <v>81</v>
      </c>
      <c r="B46" s="44">
        <v>6824210</v>
      </c>
      <c r="C46" s="43" t="s">
        <v>90</v>
      </c>
      <c r="D46" s="45">
        <v>3</v>
      </c>
      <c r="E46" s="46">
        <v>43587</v>
      </c>
      <c r="F46" s="46" t="s">
        <v>96</v>
      </c>
    </row>
    <row r="47" spans="1:6" x14ac:dyDescent="0.25">
      <c r="A47" s="43" t="s">
        <v>77</v>
      </c>
      <c r="B47" s="44">
        <v>8064615</v>
      </c>
      <c r="C47" s="43" t="s">
        <v>90</v>
      </c>
      <c r="D47" s="45">
        <v>3</v>
      </c>
      <c r="E47" s="46">
        <v>43587</v>
      </c>
      <c r="F47" s="46" t="s">
        <v>96</v>
      </c>
    </row>
    <row r="48" spans="1:6" x14ac:dyDescent="0.25">
      <c r="A48" s="43" t="s">
        <v>73</v>
      </c>
      <c r="B48" s="44">
        <v>4561956</v>
      </c>
      <c r="C48" s="43" t="s">
        <v>90</v>
      </c>
      <c r="D48" s="45">
        <v>7</v>
      </c>
      <c r="E48" s="46">
        <v>43588</v>
      </c>
      <c r="F48" s="46" t="s">
        <v>97</v>
      </c>
    </row>
    <row r="49" spans="1:6" x14ac:dyDescent="0.25">
      <c r="A49" s="43" t="s">
        <v>66</v>
      </c>
      <c r="B49" s="44">
        <v>7379504</v>
      </c>
      <c r="C49" s="43" t="s">
        <v>90</v>
      </c>
      <c r="D49" s="45">
        <v>7</v>
      </c>
      <c r="E49" s="46">
        <v>43589</v>
      </c>
      <c r="F49" s="46" t="s">
        <v>98</v>
      </c>
    </row>
    <row r="50" spans="1:6" x14ac:dyDescent="0.25">
      <c r="A50" s="43" t="s">
        <v>78</v>
      </c>
      <c r="B50" s="44">
        <v>6798420</v>
      </c>
      <c r="C50" s="43" t="s">
        <v>89</v>
      </c>
      <c r="D50" s="45">
        <v>3</v>
      </c>
      <c r="E50" s="46">
        <v>43590</v>
      </c>
      <c r="F50" s="46" t="s">
        <v>99</v>
      </c>
    </row>
    <row r="51" spans="1:6" x14ac:dyDescent="0.25">
      <c r="A51" s="43" t="s">
        <v>69</v>
      </c>
      <c r="B51" s="44">
        <v>1719949</v>
      </c>
      <c r="C51" s="43" t="s">
        <v>90</v>
      </c>
      <c r="D51" s="45">
        <v>8</v>
      </c>
      <c r="E51" s="46">
        <v>43590</v>
      </c>
      <c r="F51" s="46" t="s">
        <v>99</v>
      </c>
    </row>
    <row r="52" spans="1:6" x14ac:dyDescent="0.25">
      <c r="A52" s="43" t="s">
        <v>74</v>
      </c>
      <c r="B52" s="44">
        <v>5002539</v>
      </c>
      <c r="C52" s="43" t="s">
        <v>90</v>
      </c>
      <c r="D52" s="45">
        <v>8</v>
      </c>
      <c r="E52" s="46">
        <v>43590</v>
      </c>
      <c r="F52" s="46" t="s">
        <v>99</v>
      </c>
    </row>
    <row r="53" spans="1:6" x14ac:dyDescent="0.25">
      <c r="A53" s="43" t="s">
        <v>77</v>
      </c>
      <c r="B53" s="44">
        <v>8064615</v>
      </c>
      <c r="C53" s="43" t="s">
        <v>88</v>
      </c>
      <c r="D53" s="45">
        <v>8</v>
      </c>
      <c r="E53" s="46">
        <v>43591</v>
      </c>
      <c r="F53" s="46" t="s">
        <v>93</v>
      </c>
    </row>
    <row r="54" spans="1:6" x14ac:dyDescent="0.25">
      <c r="A54" s="43" t="s">
        <v>83</v>
      </c>
      <c r="B54" s="44">
        <v>1504751</v>
      </c>
      <c r="C54" s="43" t="s">
        <v>91</v>
      </c>
      <c r="D54" s="45">
        <v>3</v>
      </c>
      <c r="E54" s="46">
        <v>43591</v>
      </c>
      <c r="F54" s="46" t="s">
        <v>93</v>
      </c>
    </row>
    <row r="55" spans="1:6" x14ac:dyDescent="0.25">
      <c r="A55" s="43" t="s">
        <v>68</v>
      </c>
      <c r="B55" s="44">
        <v>3114039</v>
      </c>
      <c r="C55" s="43" t="s">
        <v>92</v>
      </c>
      <c r="D55" s="45">
        <v>2</v>
      </c>
      <c r="E55" s="46">
        <v>43593</v>
      </c>
      <c r="F55" s="46" t="s">
        <v>95</v>
      </c>
    </row>
    <row r="56" spans="1:6" x14ac:dyDescent="0.25">
      <c r="A56" s="43" t="s">
        <v>65</v>
      </c>
      <c r="B56" s="44">
        <v>3896876</v>
      </c>
      <c r="C56" s="43" t="s">
        <v>91</v>
      </c>
      <c r="D56" s="45">
        <v>4</v>
      </c>
      <c r="E56" s="46">
        <v>43594</v>
      </c>
      <c r="F56" s="46" t="s">
        <v>96</v>
      </c>
    </row>
    <row r="57" spans="1:6" x14ac:dyDescent="0.25">
      <c r="A57" s="43" t="s">
        <v>69</v>
      </c>
      <c r="B57" s="44">
        <v>1719949</v>
      </c>
      <c r="C57" s="43" t="s">
        <v>90</v>
      </c>
      <c r="D57" s="45">
        <v>9</v>
      </c>
      <c r="E57" s="46">
        <v>43594</v>
      </c>
      <c r="F57" s="46" t="s">
        <v>96</v>
      </c>
    </row>
    <row r="58" spans="1:6" x14ac:dyDescent="0.25">
      <c r="A58" s="43" t="s">
        <v>77</v>
      </c>
      <c r="B58" s="44">
        <v>8064615</v>
      </c>
      <c r="C58" s="43" t="s">
        <v>89</v>
      </c>
      <c r="D58" s="45">
        <v>2</v>
      </c>
      <c r="E58" s="46">
        <v>43594</v>
      </c>
      <c r="F58" s="46" t="s">
        <v>96</v>
      </c>
    </row>
    <row r="59" spans="1:6" x14ac:dyDescent="0.25">
      <c r="A59" s="43" t="s">
        <v>76</v>
      </c>
      <c r="B59" s="44">
        <v>8902767</v>
      </c>
      <c r="C59" s="43" t="s">
        <v>89</v>
      </c>
      <c r="D59" s="45">
        <v>7</v>
      </c>
      <c r="E59" s="46">
        <v>43596</v>
      </c>
      <c r="F59" s="46" t="s">
        <v>98</v>
      </c>
    </row>
    <row r="60" spans="1:6" x14ac:dyDescent="0.25">
      <c r="A60" s="43" t="s">
        <v>74</v>
      </c>
      <c r="B60" s="44">
        <v>5002539</v>
      </c>
      <c r="C60" s="43" t="s">
        <v>90</v>
      </c>
      <c r="D60" s="45">
        <v>2</v>
      </c>
      <c r="E60" s="46">
        <v>43597</v>
      </c>
      <c r="F60" s="46" t="s">
        <v>99</v>
      </c>
    </row>
    <row r="61" spans="1:6" x14ac:dyDescent="0.25">
      <c r="A61" s="43" t="s">
        <v>72</v>
      </c>
      <c r="B61" s="44">
        <v>1348405</v>
      </c>
      <c r="C61" s="43" t="s">
        <v>88</v>
      </c>
      <c r="D61" s="45">
        <v>5</v>
      </c>
      <c r="E61" s="46">
        <v>43597</v>
      </c>
      <c r="F61" s="46" t="s">
        <v>99</v>
      </c>
    </row>
    <row r="62" spans="1:6" x14ac:dyDescent="0.25">
      <c r="A62" s="43" t="s">
        <v>81</v>
      </c>
      <c r="B62" s="44">
        <v>6824210</v>
      </c>
      <c r="C62" s="43" t="s">
        <v>91</v>
      </c>
      <c r="D62" s="45">
        <v>5</v>
      </c>
      <c r="E62" s="46">
        <v>43598</v>
      </c>
      <c r="F62" s="46" t="s">
        <v>93</v>
      </c>
    </row>
    <row r="63" spans="1:6" x14ac:dyDescent="0.25">
      <c r="A63" s="43" t="s">
        <v>85</v>
      </c>
      <c r="B63" s="44">
        <v>1837361</v>
      </c>
      <c r="C63" s="43" t="s">
        <v>91</v>
      </c>
      <c r="D63" s="45">
        <v>7</v>
      </c>
      <c r="E63" s="46">
        <v>43598</v>
      </c>
      <c r="F63" s="46" t="s">
        <v>93</v>
      </c>
    </row>
    <row r="64" spans="1:6" x14ac:dyDescent="0.25">
      <c r="A64" s="43" t="s">
        <v>83</v>
      </c>
      <c r="B64" s="44">
        <v>1504751</v>
      </c>
      <c r="C64" s="43" t="s">
        <v>91</v>
      </c>
      <c r="D64" s="45">
        <v>9</v>
      </c>
      <c r="E64" s="46">
        <v>43599</v>
      </c>
      <c r="F64" s="46" t="s">
        <v>94</v>
      </c>
    </row>
    <row r="65" spans="1:6" x14ac:dyDescent="0.25">
      <c r="A65" s="43" t="s">
        <v>87</v>
      </c>
      <c r="B65" s="44">
        <v>8935923</v>
      </c>
      <c r="C65" s="43" t="s">
        <v>90</v>
      </c>
      <c r="D65" s="45">
        <v>4</v>
      </c>
      <c r="E65" s="46">
        <v>43599</v>
      </c>
      <c r="F65" s="46" t="s">
        <v>94</v>
      </c>
    </row>
    <row r="66" spans="1:6" x14ac:dyDescent="0.25">
      <c r="A66" s="43" t="s">
        <v>78</v>
      </c>
      <c r="B66" s="44">
        <v>6798420</v>
      </c>
      <c r="C66" s="43" t="s">
        <v>90</v>
      </c>
      <c r="D66" s="45">
        <v>8</v>
      </c>
      <c r="E66" s="46">
        <v>43601</v>
      </c>
      <c r="F66" s="46" t="s">
        <v>96</v>
      </c>
    </row>
    <row r="67" spans="1:6" x14ac:dyDescent="0.25">
      <c r="A67" s="43" t="s">
        <v>71</v>
      </c>
      <c r="B67" s="44">
        <v>3476423</v>
      </c>
      <c r="C67" s="43" t="s">
        <v>89</v>
      </c>
      <c r="D67" s="45">
        <v>3</v>
      </c>
      <c r="E67" s="46">
        <v>43601</v>
      </c>
      <c r="F67" s="46" t="s">
        <v>96</v>
      </c>
    </row>
    <row r="68" spans="1:6" x14ac:dyDescent="0.25">
      <c r="A68" s="43" t="s">
        <v>83</v>
      </c>
      <c r="B68" s="44">
        <v>1504751</v>
      </c>
      <c r="C68" s="43" t="s">
        <v>88</v>
      </c>
      <c r="D68" s="45">
        <v>5</v>
      </c>
      <c r="E68" s="46">
        <v>43602</v>
      </c>
      <c r="F68" s="46" t="s">
        <v>97</v>
      </c>
    </row>
    <row r="69" spans="1:6" x14ac:dyDescent="0.25">
      <c r="A69" s="43" t="s">
        <v>84</v>
      </c>
      <c r="B69" s="44">
        <v>9741735</v>
      </c>
      <c r="C69" s="43" t="s">
        <v>90</v>
      </c>
      <c r="D69" s="45">
        <v>6</v>
      </c>
      <c r="E69" s="46">
        <v>43602</v>
      </c>
      <c r="F69" s="46" t="s">
        <v>97</v>
      </c>
    </row>
    <row r="70" spans="1:6" x14ac:dyDescent="0.25">
      <c r="A70" s="43" t="s">
        <v>70</v>
      </c>
      <c r="B70" s="44">
        <v>8981107</v>
      </c>
      <c r="C70" s="43" t="s">
        <v>89</v>
      </c>
      <c r="D70" s="45">
        <v>1</v>
      </c>
      <c r="E70" s="46">
        <v>43603</v>
      </c>
      <c r="F70" s="46" t="s">
        <v>98</v>
      </c>
    </row>
    <row r="71" spans="1:6" x14ac:dyDescent="0.25">
      <c r="A71" s="43" t="s">
        <v>82</v>
      </c>
      <c r="B71" s="44">
        <v>3652883</v>
      </c>
      <c r="C71" s="43" t="s">
        <v>92</v>
      </c>
      <c r="D71" s="45">
        <v>1</v>
      </c>
      <c r="E71" s="46">
        <v>43603</v>
      </c>
      <c r="F71" s="46" t="s">
        <v>98</v>
      </c>
    </row>
    <row r="72" spans="1:6" x14ac:dyDescent="0.25">
      <c r="A72" s="43" t="s">
        <v>71</v>
      </c>
      <c r="B72" s="44">
        <v>3476423</v>
      </c>
      <c r="C72" s="43" t="s">
        <v>91</v>
      </c>
      <c r="D72" s="45">
        <v>7</v>
      </c>
      <c r="E72" s="46">
        <v>43605</v>
      </c>
      <c r="F72" s="46" t="s">
        <v>93</v>
      </c>
    </row>
    <row r="73" spans="1:6" x14ac:dyDescent="0.25">
      <c r="A73" s="43" t="s">
        <v>86</v>
      </c>
      <c r="B73" s="44">
        <v>7285051</v>
      </c>
      <c r="C73" s="43" t="s">
        <v>91</v>
      </c>
      <c r="D73" s="45">
        <v>11</v>
      </c>
      <c r="E73" s="46">
        <v>43609</v>
      </c>
      <c r="F73" s="46" t="s">
        <v>97</v>
      </c>
    </row>
    <row r="74" spans="1:6" x14ac:dyDescent="0.25">
      <c r="A74" s="43" t="s">
        <v>79</v>
      </c>
      <c r="B74" s="44">
        <v>1959356</v>
      </c>
      <c r="C74" s="43" t="s">
        <v>92</v>
      </c>
      <c r="D74" s="45">
        <v>5</v>
      </c>
      <c r="E74" s="46">
        <v>43610</v>
      </c>
      <c r="F74" s="46" t="s">
        <v>98</v>
      </c>
    </row>
    <row r="75" spans="1:6" x14ac:dyDescent="0.25">
      <c r="A75" s="43" t="s">
        <v>85</v>
      </c>
      <c r="B75" s="44">
        <v>1837361</v>
      </c>
      <c r="C75" s="43" t="s">
        <v>91</v>
      </c>
      <c r="D75" s="45">
        <v>7</v>
      </c>
      <c r="E75" s="46">
        <v>43610</v>
      </c>
      <c r="F75" s="46" t="s">
        <v>98</v>
      </c>
    </row>
    <row r="76" spans="1:6" x14ac:dyDescent="0.25">
      <c r="A76" s="43" t="s">
        <v>86</v>
      </c>
      <c r="B76" s="44">
        <v>7285051</v>
      </c>
      <c r="C76" s="43" t="s">
        <v>91</v>
      </c>
      <c r="D76" s="45">
        <v>3</v>
      </c>
      <c r="E76" s="46">
        <v>43613</v>
      </c>
      <c r="F76" s="46" t="s">
        <v>94</v>
      </c>
    </row>
    <row r="77" spans="1:6" x14ac:dyDescent="0.25">
      <c r="A77" s="43" t="s">
        <v>79</v>
      </c>
      <c r="B77" s="44">
        <v>1959356</v>
      </c>
      <c r="C77" s="43" t="s">
        <v>89</v>
      </c>
      <c r="D77" s="45">
        <v>2</v>
      </c>
      <c r="E77" s="46">
        <v>43615</v>
      </c>
      <c r="F77" s="46" t="s">
        <v>96</v>
      </c>
    </row>
    <row r="78" spans="1:6" x14ac:dyDescent="0.25">
      <c r="A78" s="43" t="s">
        <v>73</v>
      </c>
      <c r="B78" s="44">
        <v>4561956</v>
      </c>
      <c r="C78" s="43" t="s">
        <v>90</v>
      </c>
      <c r="D78" s="45">
        <v>2</v>
      </c>
      <c r="E78" s="46">
        <v>43616</v>
      </c>
      <c r="F78" s="46" t="s">
        <v>97</v>
      </c>
    </row>
    <row r="79" spans="1:6" x14ac:dyDescent="0.25">
      <c r="A79" s="43" t="s">
        <v>67</v>
      </c>
      <c r="B79" s="44">
        <v>6444430</v>
      </c>
      <c r="C79" s="43" t="s">
        <v>88</v>
      </c>
      <c r="D79" s="45">
        <v>7</v>
      </c>
      <c r="E79" s="46">
        <v>43616</v>
      </c>
      <c r="F79" s="46" t="s">
        <v>97</v>
      </c>
    </row>
  </sheetData>
  <phoneticPr fontId="6" type="noConversion"/>
  <conditionalFormatting sqref="I20:N26">
    <cfRule type="expression" dxfId="14" priority="4">
      <formula xml:space="preserve"> $I20 = $K$9</formula>
    </cfRule>
  </conditionalFormatting>
  <conditionalFormatting sqref="J19:N26">
    <cfRule type="expression" dxfId="13" priority="3">
      <formula xml:space="preserve"> J$19 = $J$9</formula>
    </cfRule>
  </conditionalFormatting>
  <conditionalFormatting sqref="I19:N26">
    <cfRule type="expression" dxfId="12" priority="1">
      <formula>AND(I$19 = $J$9, $I19 = $K$9, I19 = $I$9)</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4C778-86F5-4A7D-B2AD-F0A9F7175CCB}">
  <sheetPr codeName="Sheet5"/>
  <dimension ref="A1:L60"/>
  <sheetViews>
    <sheetView topLeftCell="A6" workbookViewId="0">
      <selection activeCell="K8" sqref="K8"/>
    </sheetView>
  </sheetViews>
  <sheetFormatPr defaultColWidth="4.7109375" defaultRowHeight="15" x14ac:dyDescent="0.25"/>
  <cols>
    <col min="1" max="1" width="20" bestFit="1" customWidth="1"/>
    <col min="2" max="2" width="16.28515625" bestFit="1" customWidth="1"/>
    <col min="3" max="3" width="8.5703125" bestFit="1" customWidth="1"/>
    <col min="4" max="5" width="11.28515625" bestFit="1" customWidth="1"/>
    <col min="6" max="6" width="22.85546875" bestFit="1" customWidth="1"/>
    <col min="7" max="7" width="20" bestFit="1" customWidth="1"/>
    <col min="8" max="8" width="27.85546875" bestFit="1" customWidth="1"/>
    <col min="9" max="9" width="25" bestFit="1" customWidth="1"/>
    <col min="11" max="11" width="24.28515625" bestFit="1" customWidth="1"/>
    <col min="12" max="12" width="34.85546875" bestFit="1" customWidth="1"/>
  </cols>
  <sheetData>
    <row r="1" spans="1:12" ht="18.75" x14ac:dyDescent="0.3">
      <c r="A1" s="54" t="s">
        <v>118</v>
      </c>
      <c r="B1" s="55"/>
      <c r="C1" s="56"/>
      <c r="D1" s="56"/>
      <c r="E1" s="56"/>
      <c r="F1" s="56"/>
      <c r="G1" s="55"/>
      <c r="H1" s="56"/>
      <c r="I1" s="56"/>
    </row>
    <row r="2" spans="1:12" x14ac:dyDescent="0.25">
      <c r="A2" s="57" t="s">
        <v>153</v>
      </c>
      <c r="B2" s="58"/>
      <c r="C2" s="58"/>
      <c r="D2" s="58"/>
      <c r="E2" s="58"/>
      <c r="F2" s="58"/>
      <c r="G2" s="58"/>
      <c r="H2" s="58"/>
      <c r="I2" s="58"/>
    </row>
    <row r="3" spans="1:12" x14ac:dyDescent="0.25">
      <c r="A3" s="57" t="s">
        <v>154</v>
      </c>
      <c r="B3" s="58"/>
      <c r="C3" s="58"/>
      <c r="D3" s="58"/>
      <c r="E3" s="58"/>
      <c r="F3" s="58"/>
      <c r="G3" s="58"/>
      <c r="H3" s="58"/>
      <c r="I3" s="58"/>
    </row>
    <row r="4" spans="1:12" x14ac:dyDescent="0.25">
      <c r="A4" s="59" t="s">
        <v>155</v>
      </c>
      <c r="B4" s="60"/>
      <c r="C4" s="60"/>
      <c r="D4" s="60"/>
      <c r="E4" s="60"/>
      <c r="F4" s="60"/>
      <c r="G4" s="60"/>
      <c r="H4" s="60"/>
      <c r="I4" s="60"/>
    </row>
    <row r="6" spans="1:12" x14ac:dyDescent="0.25">
      <c r="A6" s="37" t="s">
        <v>140</v>
      </c>
      <c r="B6" s="36"/>
      <c r="C6" s="36"/>
      <c r="D6" s="36"/>
      <c r="E6" s="36"/>
      <c r="F6" s="36"/>
      <c r="G6" s="36"/>
      <c r="H6" s="36"/>
      <c r="I6" s="36"/>
    </row>
    <row r="7" spans="1:12" x14ac:dyDescent="0.25">
      <c r="A7" s="37" t="s">
        <v>141</v>
      </c>
      <c r="B7" s="36"/>
      <c r="C7" s="36"/>
      <c r="D7" s="36"/>
      <c r="E7" s="36"/>
      <c r="F7" s="36"/>
      <c r="G7" s="36"/>
      <c r="H7" s="36"/>
      <c r="I7" s="36"/>
    </row>
    <row r="8" spans="1:12" x14ac:dyDescent="0.25">
      <c r="A8" s="98" t="s">
        <v>142</v>
      </c>
      <c r="B8" s="99"/>
      <c r="C8" s="99"/>
      <c r="D8" s="22">
        <f>MIN(F35:F38)</f>
        <v>143</v>
      </c>
      <c r="E8" t="s">
        <v>195</v>
      </c>
      <c r="F8">
        <f>L11</f>
        <v>137.61904761904762</v>
      </c>
    </row>
    <row r="10" spans="1:12" x14ac:dyDescent="0.25">
      <c r="A10" s="78" t="s">
        <v>62</v>
      </c>
      <c r="B10" s="79" t="s">
        <v>119</v>
      </c>
      <c r="C10" s="79" t="s">
        <v>120</v>
      </c>
      <c r="D10" s="79" t="s">
        <v>112</v>
      </c>
      <c r="E10" s="79" t="s">
        <v>121</v>
      </c>
      <c r="F10" s="79" t="s">
        <v>122</v>
      </c>
      <c r="G10" s="79" t="s">
        <v>123</v>
      </c>
      <c r="H10" s="79" t="s">
        <v>124</v>
      </c>
      <c r="I10" s="79" t="s">
        <v>125</v>
      </c>
      <c r="L10" t="s">
        <v>187</v>
      </c>
    </row>
    <row r="11" spans="1:12" x14ac:dyDescent="0.25">
      <c r="A11" s="76" t="s">
        <v>138</v>
      </c>
      <c r="B11" s="61" t="s">
        <v>131</v>
      </c>
      <c r="C11" s="61">
        <v>299</v>
      </c>
      <c r="D11" s="62">
        <v>2.4900000000000002</v>
      </c>
      <c r="E11" s="61" t="s">
        <v>132</v>
      </c>
      <c r="F11" s="61">
        <v>292</v>
      </c>
      <c r="G11" s="62">
        <v>4.66</v>
      </c>
      <c r="H11" s="61">
        <v>7</v>
      </c>
      <c r="I11" s="62">
        <v>1.91</v>
      </c>
      <c r="K11" t="s">
        <v>188</v>
      </c>
      <c r="L11">
        <f>AVERAGE(Table1[Amount Sold])</f>
        <v>137.61904761904762</v>
      </c>
    </row>
    <row r="12" spans="1:12" hidden="1" x14ac:dyDescent="0.25">
      <c r="A12" s="77" t="s">
        <v>126</v>
      </c>
      <c r="B12" s="63" t="s">
        <v>131</v>
      </c>
      <c r="C12" s="63">
        <v>292</v>
      </c>
      <c r="D12" s="64">
        <v>6.83</v>
      </c>
      <c r="E12" s="63" t="s">
        <v>132</v>
      </c>
      <c r="F12" s="63">
        <v>262</v>
      </c>
      <c r="G12" s="64">
        <v>10.64</v>
      </c>
      <c r="H12" s="63">
        <v>20</v>
      </c>
      <c r="I12" s="64">
        <v>3.17</v>
      </c>
      <c r="K12" t="s">
        <v>186</v>
      </c>
      <c r="L12">
        <v>2445</v>
      </c>
    </row>
    <row r="13" spans="1:12" x14ac:dyDescent="0.25">
      <c r="A13" s="76" t="s">
        <v>138</v>
      </c>
      <c r="B13" s="61" t="s">
        <v>129</v>
      </c>
      <c r="C13" s="61">
        <v>209</v>
      </c>
      <c r="D13" s="62">
        <v>2.0099999999999998</v>
      </c>
      <c r="E13" s="61" t="s">
        <v>130</v>
      </c>
      <c r="F13" s="61">
        <v>207</v>
      </c>
      <c r="G13" s="62">
        <v>4.2</v>
      </c>
      <c r="H13" s="61">
        <v>2</v>
      </c>
      <c r="I13" s="62">
        <v>0.56000000000000005</v>
      </c>
      <c r="K13" t="s">
        <v>186</v>
      </c>
      <c r="L13">
        <f>AVERAGE(L32:L40)</f>
        <v>133.88888888888889</v>
      </c>
    </row>
    <row r="14" spans="1:12" hidden="1" x14ac:dyDescent="0.25">
      <c r="A14" s="77" t="s">
        <v>135</v>
      </c>
      <c r="B14" s="63" t="s">
        <v>131</v>
      </c>
      <c r="C14" s="63">
        <v>274</v>
      </c>
      <c r="D14" s="64">
        <v>5.13</v>
      </c>
      <c r="E14" s="63" t="s">
        <v>130</v>
      </c>
      <c r="F14" s="63">
        <v>202</v>
      </c>
      <c r="G14" s="64">
        <v>9.0399999999999991</v>
      </c>
      <c r="H14" s="63">
        <v>72</v>
      </c>
      <c r="I14" s="64">
        <v>0.41</v>
      </c>
    </row>
    <row r="15" spans="1:12" hidden="1" x14ac:dyDescent="0.25">
      <c r="A15" s="77" t="s">
        <v>137</v>
      </c>
      <c r="B15" s="63" t="s">
        <v>131</v>
      </c>
      <c r="C15" s="63">
        <v>258</v>
      </c>
      <c r="D15" s="64">
        <v>4.45</v>
      </c>
      <c r="E15" s="63" t="s">
        <v>128</v>
      </c>
      <c r="F15" s="63">
        <v>168</v>
      </c>
      <c r="G15" s="64">
        <v>10.57</v>
      </c>
      <c r="H15" s="63">
        <v>90</v>
      </c>
      <c r="I15" s="64">
        <v>3.02</v>
      </c>
    </row>
    <row r="16" spans="1:12" hidden="1" x14ac:dyDescent="0.25">
      <c r="A16" s="76" t="s">
        <v>126</v>
      </c>
      <c r="B16" s="61" t="s">
        <v>127</v>
      </c>
      <c r="C16" s="61">
        <v>193</v>
      </c>
      <c r="D16" s="62">
        <v>6.89</v>
      </c>
      <c r="E16" s="61" t="s">
        <v>128</v>
      </c>
      <c r="F16" s="61">
        <v>166</v>
      </c>
      <c r="G16" s="62">
        <v>11.42</v>
      </c>
      <c r="H16" s="61">
        <v>27</v>
      </c>
      <c r="I16" s="62">
        <v>2.6</v>
      </c>
    </row>
    <row r="17" spans="1:12" hidden="1" x14ac:dyDescent="0.25">
      <c r="A17" s="76" t="s">
        <v>126</v>
      </c>
      <c r="B17" s="61" t="s">
        <v>129</v>
      </c>
      <c r="C17" s="61">
        <v>275</v>
      </c>
      <c r="D17" s="62">
        <v>3.07</v>
      </c>
      <c r="E17" s="61" t="s">
        <v>130</v>
      </c>
      <c r="F17" s="61">
        <v>164</v>
      </c>
      <c r="G17" s="62">
        <v>6.87</v>
      </c>
      <c r="H17" s="61">
        <v>111</v>
      </c>
      <c r="I17" s="62">
        <v>0.83</v>
      </c>
    </row>
    <row r="18" spans="1:12" hidden="1" x14ac:dyDescent="0.25">
      <c r="A18" s="77" t="s">
        <v>135</v>
      </c>
      <c r="B18" s="63" t="s">
        <v>129</v>
      </c>
      <c r="C18" s="63">
        <v>238</v>
      </c>
      <c r="D18" s="64">
        <v>5.08</v>
      </c>
      <c r="E18" s="63" t="s">
        <v>128</v>
      </c>
      <c r="F18" s="63">
        <v>164</v>
      </c>
      <c r="G18" s="64">
        <v>11.7</v>
      </c>
      <c r="H18" s="63">
        <v>74</v>
      </c>
      <c r="I18" s="64">
        <v>4.79</v>
      </c>
    </row>
    <row r="19" spans="1:12" x14ac:dyDescent="0.25">
      <c r="A19" s="77" t="s">
        <v>133</v>
      </c>
      <c r="B19" s="63" t="s">
        <v>134</v>
      </c>
      <c r="C19" s="63">
        <v>211</v>
      </c>
      <c r="D19" s="64">
        <v>4.8</v>
      </c>
      <c r="E19" s="63" t="s">
        <v>130</v>
      </c>
      <c r="F19" s="63">
        <v>159</v>
      </c>
      <c r="G19" s="64">
        <v>9.4499999999999993</v>
      </c>
      <c r="H19" s="63">
        <v>52</v>
      </c>
      <c r="I19" s="64">
        <v>2.77</v>
      </c>
    </row>
    <row r="20" spans="1:12" x14ac:dyDescent="0.25">
      <c r="A20" s="76" t="s">
        <v>136</v>
      </c>
      <c r="B20" s="61" t="s">
        <v>131</v>
      </c>
      <c r="C20" s="61">
        <v>175</v>
      </c>
      <c r="D20" s="62">
        <v>5.01</v>
      </c>
      <c r="E20" s="61" t="s">
        <v>130</v>
      </c>
      <c r="F20" s="61">
        <v>143</v>
      </c>
      <c r="G20" s="62">
        <v>9.43</v>
      </c>
      <c r="H20" s="61">
        <v>32</v>
      </c>
      <c r="I20" s="62">
        <v>4.54</v>
      </c>
    </row>
    <row r="21" spans="1:12" hidden="1" x14ac:dyDescent="0.25">
      <c r="A21" s="76" t="s">
        <v>139</v>
      </c>
      <c r="B21" s="61" t="s">
        <v>127</v>
      </c>
      <c r="C21" s="61">
        <v>157</v>
      </c>
      <c r="D21" s="62">
        <v>6.6</v>
      </c>
      <c r="E21" s="61" t="s">
        <v>128</v>
      </c>
      <c r="F21" s="61">
        <v>142</v>
      </c>
      <c r="G21" s="62">
        <v>10.77</v>
      </c>
      <c r="H21" s="61">
        <v>15</v>
      </c>
      <c r="I21" s="62">
        <v>1.56</v>
      </c>
    </row>
    <row r="22" spans="1:12" hidden="1" x14ac:dyDescent="0.25">
      <c r="A22" s="77" t="s">
        <v>133</v>
      </c>
      <c r="B22" s="63" t="s">
        <v>131</v>
      </c>
      <c r="C22" s="63">
        <v>150</v>
      </c>
      <c r="D22" s="64">
        <v>3.29</v>
      </c>
      <c r="E22" s="63" t="s">
        <v>128</v>
      </c>
      <c r="F22" s="63">
        <v>136</v>
      </c>
      <c r="G22" s="64">
        <v>6.25</v>
      </c>
      <c r="H22" s="63">
        <v>14</v>
      </c>
      <c r="I22" s="64">
        <v>1.76</v>
      </c>
    </row>
    <row r="23" spans="1:12" hidden="1" x14ac:dyDescent="0.25">
      <c r="A23" s="76" t="s">
        <v>136</v>
      </c>
      <c r="B23" s="61" t="s">
        <v>129</v>
      </c>
      <c r="C23" s="61">
        <v>196</v>
      </c>
      <c r="D23" s="62">
        <v>3.91</v>
      </c>
      <c r="E23" s="61" t="s">
        <v>128</v>
      </c>
      <c r="F23" s="61">
        <v>98</v>
      </c>
      <c r="G23" s="62">
        <v>11.5</v>
      </c>
      <c r="H23" s="61">
        <v>98</v>
      </c>
      <c r="I23" s="62">
        <v>2.54</v>
      </c>
    </row>
    <row r="24" spans="1:12" hidden="1" x14ac:dyDescent="0.25">
      <c r="A24" s="76" t="s">
        <v>137</v>
      </c>
      <c r="B24" s="61" t="s">
        <v>129</v>
      </c>
      <c r="C24" s="61">
        <v>169</v>
      </c>
      <c r="D24" s="62">
        <v>2.7</v>
      </c>
      <c r="E24" s="61" t="s">
        <v>132</v>
      </c>
      <c r="F24" s="61">
        <v>95</v>
      </c>
      <c r="G24" s="62">
        <v>8.5399999999999991</v>
      </c>
      <c r="H24" s="61">
        <v>74</v>
      </c>
      <c r="I24" s="62">
        <v>1.56</v>
      </c>
    </row>
    <row r="25" spans="1:12" hidden="1" x14ac:dyDescent="0.25">
      <c r="A25" s="77" t="s">
        <v>139</v>
      </c>
      <c r="B25" s="63" t="s">
        <v>129</v>
      </c>
      <c r="C25" s="63">
        <v>118</v>
      </c>
      <c r="D25" s="64">
        <v>4.4000000000000004</v>
      </c>
      <c r="E25" s="63" t="s">
        <v>130</v>
      </c>
      <c r="F25" s="63">
        <v>93</v>
      </c>
      <c r="G25" s="64">
        <v>8.4</v>
      </c>
      <c r="H25" s="63">
        <v>25</v>
      </c>
      <c r="I25" s="64">
        <v>5.85</v>
      </c>
    </row>
    <row r="26" spans="1:12" hidden="1" x14ac:dyDescent="0.25">
      <c r="A26" s="77" t="s">
        <v>139</v>
      </c>
      <c r="B26" s="63" t="s">
        <v>131</v>
      </c>
      <c r="C26" s="63">
        <v>112</v>
      </c>
      <c r="D26" s="64">
        <v>4.9800000000000004</v>
      </c>
      <c r="E26" s="63" t="s">
        <v>132</v>
      </c>
      <c r="F26" s="63">
        <v>89</v>
      </c>
      <c r="G26" s="64">
        <v>7.78</v>
      </c>
      <c r="H26" s="63">
        <v>23</v>
      </c>
      <c r="I26" s="64">
        <v>1.21</v>
      </c>
    </row>
    <row r="27" spans="1:12" hidden="1" x14ac:dyDescent="0.25">
      <c r="A27" s="77" t="s">
        <v>138</v>
      </c>
      <c r="B27" s="63" t="s">
        <v>134</v>
      </c>
      <c r="C27" s="63">
        <v>104</v>
      </c>
      <c r="D27" s="64">
        <v>2.91</v>
      </c>
      <c r="E27" s="63" t="s">
        <v>128</v>
      </c>
      <c r="F27" s="63">
        <v>77</v>
      </c>
      <c r="G27" s="64">
        <v>4.2300000000000004</v>
      </c>
      <c r="H27" s="63">
        <v>27</v>
      </c>
      <c r="I27" s="64">
        <v>0.49</v>
      </c>
    </row>
    <row r="28" spans="1:12" hidden="1" x14ac:dyDescent="0.25">
      <c r="A28" s="76" t="s">
        <v>137</v>
      </c>
      <c r="B28" s="61" t="s">
        <v>127</v>
      </c>
      <c r="C28" s="61">
        <v>162</v>
      </c>
      <c r="D28" s="62">
        <v>3.54</v>
      </c>
      <c r="E28" s="61" t="s">
        <v>130</v>
      </c>
      <c r="F28" s="61">
        <v>73</v>
      </c>
      <c r="G28" s="62">
        <v>12.88</v>
      </c>
      <c r="H28" s="61">
        <v>89</v>
      </c>
      <c r="I28" s="62">
        <v>2.4</v>
      </c>
    </row>
    <row r="29" spans="1:12" hidden="1" x14ac:dyDescent="0.25">
      <c r="A29" s="76" t="s">
        <v>135</v>
      </c>
      <c r="B29" s="61" t="s">
        <v>127</v>
      </c>
      <c r="C29" s="61">
        <v>127</v>
      </c>
      <c r="D29" s="62">
        <v>2.89</v>
      </c>
      <c r="E29" s="61" t="s">
        <v>132</v>
      </c>
      <c r="F29" s="61">
        <v>67</v>
      </c>
      <c r="G29" s="62">
        <v>9.8000000000000007</v>
      </c>
      <c r="H29" s="61">
        <v>60</v>
      </c>
      <c r="I29" s="62">
        <v>2.4900000000000002</v>
      </c>
    </row>
    <row r="30" spans="1:12" hidden="1" x14ac:dyDescent="0.25">
      <c r="A30" s="77" t="s">
        <v>136</v>
      </c>
      <c r="B30" s="63" t="s">
        <v>134</v>
      </c>
      <c r="C30" s="63">
        <v>69</v>
      </c>
      <c r="D30" s="64">
        <v>6.92</v>
      </c>
      <c r="E30" s="63" t="s">
        <v>132</v>
      </c>
      <c r="F30" s="63">
        <v>55</v>
      </c>
      <c r="G30" s="64">
        <v>10.71</v>
      </c>
      <c r="H30" s="63">
        <v>14</v>
      </c>
      <c r="I30" s="64">
        <v>3.43</v>
      </c>
    </row>
    <row r="31" spans="1:12" hidden="1" x14ac:dyDescent="0.25">
      <c r="A31" s="76" t="s">
        <v>133</v>
      </c>
      <c r="B31" s="61" t="s">
        <v>129</v>
      </c>
      <c r="C31" s="61">
        <v>59</v>
      </c>
      <c r="D31" s="62">
        <v>2.2999999999999998</v>
      </c>
      <c r="E31" s="61" t="s">
        <v>132</v>
      </c>
      <c r="F31" s="61">
        <v>38</v>
      </c>
      <c r="G31" s="62">
        <v>7.5</v>
      </c>
      <c r="H31" s="61">
        <v>21</v>
      </c>
      <c r="I31" s="62">
        <v>0.65</v>
      </c>
    </row>
    <row r="32" spans="1:12" x14ac:dyDescent="0.25">
      <c r="L32" s="80">
        <v>292</v>
      </c>
    </row>
    <row r="33" spans="1:12" x14ac:dyDescent="0.25">
      <c r="L33" s="81">
        <v>207</v>
      </c>
    </row>
    <row r="34" spans="1:12" x14ac:dyDescent="0.25">
      <c r="A34" s="86" t="s">
        <v>62</v>
      </c>
      <c r="B34" s="86" t="s">
        <v>119</v>
      </c>
      <c r="C34" s="86" t="s">
        <v>120</v>
      </c>
      <c r="D34" s="86" t="s">
        <v>112</v>
      </c>
      <c r="E34" s="86" t="s">
        <v>121</v>
      </c>
      <c r="F34" s="86" t="s">
        <v>122</v>
      </c>
      <c r="G34" s="86" t="s">
        <v>123</v>
      </c>
      <c r="H34" s="86" t="s">
        <v>124</v>
      </c>
      <c r="I34" s="87" t="s">
        <v>125</v>
      </c>
      <c r="L34" s="81">
        <v>159</v>
      </c>
    </row>
    <row r="35" spans="1:12" x14ac:dyDescent="0.25">
      <c r="A35" s="88" t="s">
        <v>138</v>
      </c>
      <c r="B35" s="88" t="s">
        <v>131</v>
      </c>
      <c r="C35" s="88">
        <v>299</v>
      </c>
      <c r="D35" s="89">
        <v>2.4900000000000002</v>
      </c>
      <c r="E35" s="88" t="s">
        <v>132</v>
      </c>
      <c r="F35" s="88">
        <v>292</v>
      </c>
      <c r="G35" s="89">
        <v>4.66</v>
      </c>
      <c r="H35" s="88">
        <v>7</v>
      </c>
      <c r="I35" s="90">
        <v>1.91</v>
      </c>
      <c r="L35" s="81">
        <v>143</v>
      </c>
    </row>
    <row r="36" spans="1:12" x14ac:dyDescent="0.25">
      <c r="A36" s="88" t="s">
        <v>138</v>
      </c>
      <c r="B36" s="88" t="s">
        <v>129</v>
      </c>
      <c r="C36" s="88">
        <v>209</v>
      </c>
      <c r="D36" s="89">
        <v>2.0099999999999998</v>
      </c>
      <c r="E36" s="88" t="s">
        <v>130</v>
      </c>
      <c r="F36" s="88">
        <v>207</v>
      </c>
      <c r="G36" s="89">
        <v>4.2</v>
      </c>
      <c r="H36" s="88">
        <v>2</v>
      </c>
      <c r="I36" s="90">
        <v>0.56000000000000005</v>
      </c>
      <c r="L36" s="81">
        <v>136</v>
      </c>
    </row>
    <row r="37" spans="1:12" x14ac:dyDescent="0.25">
      <c r="A37" s="88" t="s">
        <v>133</v>
      </c>
      <c r="B37" s="88" t="s">
        <v>134</v>
      </c>
      <c r="C37" s="88">
        <v>211</v>
      </c>
      <c r="D37" s="89">
        <v>4.8</v>
      </c>
      <c r="E37" s="88" t="s">
        <v>130</v>
      </c>
      <c r="F37" s="88">
        <v>159</v>
      </c>
      <c r="G37" s="89">
        <v>9.4499999999999993</v>
      </c>
      <c r="H37" s="88">
        <v>52</v>
      </c>
      <c r="I37" s="90">
        <v>2.77</v>
      </c>
      <c r="L37" s="81">
        <v>98</v>
      </c>
    </row>
    <row r="38" spans="1:12" x14ac:dyDescent="0.25">
      <c r="A38" s="91" t="s">
        <v>136</v>
      </c>
      <c r="B38" s="91" t="s">
        <v>131</v>
      </c>
      <c r="C38" s="91">
        <v>175</v>
      </c>
      <c r="D38" s="92">
        <v>5.01</v>
      </c>
      <c r="E38" s="91" t="s">
        <v>130</v>
      </c>
      <c r="F38" s="91">
        <v>143</v>
      </c>
      <c r="G38" s="92">
        <v>9.43</v>
      </c>
      <c r="H38" s="91">
        <v>32</v>
      </c>
      <c r="I38" s="93">
        <v>4.54</v>
      </c>
      <c r="L38" s="81">
        <v>77</v>
      </c>
    </row>
    <row r="39" spans="1:12" x14ac:dyDescent="0.25">
      <c r="L39" s="81">
        <v>55</v>
      </c>
    </row>
    <row r="40" spans="1:12" x14ac:dyDescent="0.25">
      <c r="A40" s="37" t="s">
        <v>145</v>
      </c>
      <c r="B40" s="36"/>
      <c r="C40" s="36"/>
      <c r="D40" s="36"/>
      <c r="E40" s="36"/>
      <c r="F40" s="36"/>
      <c r="G40" s="36"/>
      <c r="H40" s="36"/>
      <c r="I40" s="36"/>
      <c r="L40" s="82">
        <v>38</v>
      </c>
    </row>
    <row r="41" spans="1:12" x14ac:dyDescent="0.25">
      <c r="A41" s="37" t="s">
        <v>143</v>
      </c>
      <c r="B41" s="36"/>
      <c r="C41" s="36"/>
      <c r="D41" s="36"/>
      <c r="E41" s="36"/>
      <c r="F41" s="36"/>
      <c r="G41" s="36"/>
      <c r="H41" s="36"/>
      <c r="I41" s="36"/>
    </row>
    <row r="42" spans="1:12" x14ac:dyDescent="0.25">
      <c r="A42" s="37" t="s">
        <v>144</v>
      </c>
      <c r="B42" s="36"/>
      <c r="C42" s="36"/>
      <c r="D42" s="36"/>
      <c r="E42" s="36"/>
      <c r="F42" s="36"/>
      <c r="G42" s="36"/>
      <c r="H42" s="36"/>
      <c r="I42" s="36"/>
    </row>
    <row r="43" spans="1:12" x14ac:dyDescent="0.25">
      <c r="A43" s="37" t="s">
        <v>146</v>
      </c>
      <c r="B43" s="36"/>
      <c r="C43" s="36"/>
      <c r="D43" s="36"/>
      <c r="E43" s="36"/>
      <c r="F43" s="36"/>
      <c r="G43" s="36"/>
      <c r="H43" s="36"/>
      <c r="I43" s="36"/>
    </row>
    <row r="46" spans="1:12" x14ac:dyDescent="0.25">
      <c r="A46" s="83" t="s">
        <v>192</v>
      </c>
      <c r="B46" s="83" t="s">
        <v>191</v>
      </c>
    </row>
    <row r="47" spans="1:12" x14ac:dyDescent="0.25">
      <c r="A47" s="83" t="s">
        <v>189</v>
      </c>
      <c r="B47" t="s">
        <v>128</v>
      </c>
      <c r="C47" t="s">
        <v>132</v>
      </c>
      <c r="D47" t="s">
        <v>190</v>
      </c>
    </row>
    <row r="48" spans="1:12" x14ac:dyDescent="0.25">
      <c r="A48" s="84" t="s">
        <v>127</v>
      </c>
    </row>
    <row r="49" spans="1:4" x14ac:dyDescent="0.25">
      <c r="A49" s="85" t="s">
        <v>126</v>
      </c>
      <c r="B49">
        <v>1329.77</v>
      </c>
      <c r="C49">
        <v>0</v>
      </c>
      <c r="D49">
        <v>1329.77</v>
      </c>
    </row>
    <row r="50" spans="1:4" x14ac:dyDescent="0.25">
      <c r="A50" s="85" t="s">
        <v>139</v>
      </c>
      <c r="B50">
        <v>1036.2</v>
      </c>
      <c r="C50">
        <v>0</v>
      </c>
      <c r="D50">
        <v>1036.2</v>
      </c>
    </row>
    <row r="51" spans="1:4" x14ac:dyDescent="0.25">
      <c r="A51" s="85" t="s">
        <v>135</v>
      </c>
      <c r="B51">
        <v>0</v>
      </c>
      <c r="C51">
        <v>367.03000000000003</v>
      </c>
      <c r="D51">
        <v>367.03000000000003</v>
      </c>
    </row>
    <row r="52" spans="1:4" x14ac:dyDescent="0.25">
      <c r="A52" s="84" t="s">
        <v>193</v>
      </c>
      <c r="B52">
        <v>4721.4999999999991</v>
      </c>
      <c r="C52">
        <v>367.03000000000003</v>
      </c>
      <c r="D52">
        <v>7813.2599999999993</v>
      </c>
    </row>
    <row r="53" spans="1:4" x14ac:dyDescent="0.25">
      <c r="A53" s="84" t="s">
        <v>131</v>
      </c>
    </row>
    <row r="54" spans="1:4" x14ac:dyDescent="0.25">
      <c r="A54" s="85" t="s">
        <v>126</v>
      </c>
      <c r="B54">
        <v>0</v>
      </c>
      <c r="C54">
        <v>1994.3600000000001</v>
      </c>
      <c r="D54">
        <v>1994.3600000000001</v>
      </c>
    </row>
    <row r="55" spans="1:4" x14ac:dyDescent="0.25">
      <c r="A55" s="85" t="s">
        <v>139</v>
      </c>
      <c r="B55">
        <v>0</v>
      </c>
      <c r="C55">
        <v>557.76</v>
      </c>
      <c r="D55">
        <v>557.76</v>
      </c>
    </row>
    <row r="56" spans="1:4" x14ac:dyDescent="0.25">
      <c r="A56" s="85" t="s">
        <v>133</v>
      </c>
      <c r="B56">
        <v>493.5</v>
      </c>
      <c r="C56">
        <v>0</v>
      </c>
      <c r="D56">
        <v>493.5</v>
      </c>
    </row>
    <row r="57" spans="1:4" x14ac:dyDescent="0.25">
      <c r="A57" s="85" t="s">
        <v>137</v>
      </c>
      <c r="B57">
        <v>1148.1000000000001</v>
      </c>
      <c r="C57">
        <v>0</v>
      </c>
      <c r="D57">
        <v>1148.1000000000001</v>
      </c>
    </row>
    <row r="58" spans="1:4" x14ac:dyDescent="0.25">
      <c r="A58" s="85" t="s">
        <v>138</v>
      </c>
      <c r="B58">
        <v>0</v>
      </c>
      <c r="C58">
        <v>744.5100000000001</v>
      </c>
      <c r="D58">
        <v>744.5100000000001</v>
      </c>
    </row>
    <row r="59" spans="1:4" x14ac:dyDescent="0.25">
      <c r="A59" s="84" t="s">
        <v>194</v>
      </c>
      <c r="B59">
        <v>3157.92</v>
      </c>
      <c r="C59">
        <v>10052.9</v>
      </c>
      <c r="D59">
        <v>24486.44</v>
      </c>
    </row>
    <row r="60" spans="1:4" x14ac:dyDescent="0.25">
      <c r="A60" s="84" t="s">
        <v>190</v>
      </c>
      <c r="B60">
        <v>16092.339999999998</v>
      </c>
      <c r="C60">
        <v>14267.7</v>
      </c>
      <c r="D60">
        <v>61010.96</v>
      </c>
    </row>
  </sheetData>
  <mergeCells count="1">
    <mergeCell ref="A8:C8"/>
  </mergeCells>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25</vt:i4>
      </vt:variant>
    </vt:vector>
  </HeadingPairs>
  <TitlesOfParts>
    <vt:vector size="30" baseType="lpstr">
      <vt:lpstr>Documentation</vt:lpstr>
      <vt:lpstr>P1</vt:lpstr>
      <vt:lpstr>P2</vt:lpstr>
      <vt:lpstr>P3</vt:lpstr>
      <vt:lpstr>P4</vt:lpstr>
      <vt:lpstr>Avg_Unit_Price</vt:lpstr>
      <vt:lpstr>CVS</vt:lpstr>
      <vt:lpstr>FoodLion</vt:lpstr>
      <vt:lpstr>Kroger</vt:lpstr>
      <vt:lpstr>Period_1</vt:lpstr>
      <vt:lpstr>Period_1_Tax</vt:lpstr>
      <vt:lpstr>Period_10</vt:lpstr>
      <vt:lpstr>Period_10_Tax</vt:lpstr>
      <vt:lpstr>Period_2</vt:lpstr>
      <vt:lpstr>Period_2_Tax</vt:lpstr>
      <vt:lpstr>Period_3</vt:lpstr>
      <vt:lpstr>Period_3_Tax</vt:lpstr>
      <vt:lpstr>Period_4</vt:lpstr>
      <vt:lpstr>Period_4_Tax</vt:lpstr>
      <vt:lpstr>Period_5</vt:lpstr>
      <vt:lpstr>Period_5_Tax</vt:lpstr>
      <vt:lpstr>Period_6</vt:lpstr>
      <vt:lpstr>Period_6_Tax</vt:lpstr>
      <vt:lpstr>Period_7</vt:lpstr>
      <vt:lpstr>Period_7_Tax</vt:lpstr>
      <vt:lpstr>Period_8</vt:lpstr>
      <vt:lpstr>Period_8_Tax</vt:lpstr>
      <vt:lpstr>Period_9</vt:lpstr>
      <vt:lpstr>Period_9_Tax</vt:lpstr>
      <vt:lpstr>Walgreens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Michelle Seref</dc:creator>
  <cp:lastModifiedBy>Zain Qadri</cp:lastModifiedBy>
  <dcterms:created xsi:type="dcterms:W3CDTF">2019-07-06T18:28:48Z</dcterms:created>
  <dcterms:modified xsi:type="dcterms:W3CDTF">2023-02-06T18:11:29Z</dcterms:modified>
</cp:coreProperties>
</file>