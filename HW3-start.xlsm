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inq\Documents\BIT 3424\"/>
    </mc:Choice>
  </mc:AlternateContent>
  <xr:revisionPtr revIDLastSave="0" documentId="13_ncr:1_{7DD8F148-87F1-4F64-A552-477703C1E07D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Documentation" sheetId="5" r:id="rId1"/>
    <sheet name="P9" sheetId="1" r:id="rId2"/>
    <sheet name="P10" sheetId="2" r:id="rId3"/>
    <sheet name="P11" sheetId="3" r:id="rId4"/>
    <sheet name="P12" sheetId="4" r:id="rId5"/>
  </sheets>
  <functionGroups builtInGroupCount="19"/>
  <definedNames>
    <definedName name="AllCapacity">'P12'!$C$26:$E$26</definedName>
    <definedName name="AllDriver">'P12'!$C$27:$E$27</definedName>
    <definedName name="AllTotal">'P12'!$C$30:$E$30</definedName>
    <definedName name="AllTrucks">'P12'!$B$18:$F$24</definedName>
    <definedName name="AllUnitCost">'P12'!$C$28:$E$28</definedName>
    <definedName name="DC">'P11'!$C$27:$E$27</definedName>
    <definedName name="DCost">'P10'!$C$22:$E$22</definedName>
    <definedName name="DriverCost">'P9'!$C$25:$D$25</definedName>
    <definedName name="InvReport">'P9'!#REF!</definedName>
    <definedName name="InvTable">'P9'!#REF!</definedName>
    <definedName name="ProdReport">'P9'!#REF!</definedName>
    <definedName name="ProdTable">'P9'!#REF!</definedName>
    <definedName name="TC">'P11'!$C$26:$E$26</definedName>
    <definedName name="Truck1Sum">'P9'!$C$18:$C$23</definedName>
    <definedName name="Truck1Vals">'P11'!$C$26</definedName>
    <definedName name="Truck2Sum">'P9'!$D$18:$D$23</definedName>
    <definedName name="Truck2Vals">'P11'!$D$26</definedName>
    <definedName name="Truck3Vals">'P11'!$E$26</definedName>
    <definedName name="TruckCapacity">'P10'!$C$21:$E$21</definedName>
    <definedName name="TruckCost">'P9'!$C$27</definedName>
    <definedName name="TruckT">'P10'!$B$13:$F$19</definedName>
    <definedName name="TruckTable">'P9'!$B$17:$E$23</definedName>
    <definedName name="TT">'P11'!$B$18:$F$24</definedName>
    <definedName name="X">'P11'!$C$19:$C$24</definedName>
    <definedName name="Y">'P11'!$D$19:$D$24</definedName>
    <definedName name="Z">'P11'!$E$19:$E$24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4" l="1" a="1"/>
  <c r="D30" i="4" a="1"/>
  <c r="E30" i="4" a="1"/>
  <c r="E30" i="4" l="1"/>
  <c r="D30" i="4"/>
  <c r="C3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<sst xmlns="http://schemas.openxmlformats.org/spreadsheetml/2006/main" count="116" uniqueCount="78">
  <si>
    <t>Practice 10</t>
  </si>
  <si>
    <t>Practice 9</t>
  </si>
  <si>
    <t>Practice 11</t>
  </si>
  <si>
    <t>Practice 12</t>
  </si>
  <si>
    <t>City</t>
  </si>
  <si>
    <t>Truck 1</t>
  </si>
  <si>
    <t>Truck 2</t>
  </si>
  <si>
    <t>Truck 3</t>
  </si>
  <si>
    <t>Demand</t>
  </si>
  <si>
    <t>Alexandria</t>
  </si>
  <si>
    <t>Bburg</t>
  </si>
  <si>
    <t>Cburg</t>
  </si>
  <si>
    <t>Roanoke</t>
  </si>
  <si>
    <t>Salem</t>
  </si>
  <si>
    <t>Vienna</t>
  </si>
  <si>
    <t>Capacity</t>
  </si>
  <si>
    <t>Create application to assign city demands to trucks.</t>
  </si>
  <si>
    <t>User should be able to sort by demand, determine top truck priority, and set minimum truck demand level.</t>
  </si>
  <si>
    <t>1 Question</t>
  </si>
  <si>
    <t>Ask user if they want to sort table by smallest or largest demand values. Sort table accordingly.</t>
  </si>
  <si>
    <t>For each city in the table, record the desired demand value and note the first letter of the city name.</t>
  </si>
  <si>
    <t>Increase the line weight of the arrows for each assigned city-truck.</t>
  </si>
  <si>
    <t>Driver Cost</t>
  </si>
  <si>
    <t>Ask user for minimum demand level to be assigned to Truck 1.</t>
  </si>
  <si>
    <t xml:space="preserve">If the demand is greater than or equal to the minimum demand level, then assign the city to Truck 1, otherwise assign to </t>
  </si>
  <si>
    <t>Truck 2 (assign = 1). Keep track of the total number of cities assigned to each truck.</t>
  </si>
  <si>
    <t>Make sure to clear any previous values and reset the arrow line weights (before assigning trucks).</t>
  </si>
  <si>
    <t xml:space="preserve">Calculate the total driver cost per truck based on number of stops. Report the total truck cost. </t>
  </si>
  <si>
    <t>Create application to assign city demand to trucks given limited truck capacities.</t>
  </si>
  <si>
    <t>Application answers change depending on capacity values.</t>
  </si>
  <si>
    <t>Create application to assign city demand values based on truck capacity.</t>
  </si>
  <si>
    <t>Clear any previous assignment values.</t>
  </si>
  <si>
    <t>Give user message any time a truck capacity if full. Calculate total number of stops and total driver costs and report to user.</t>
  </si>
  <si>
    <t>Modify the procedure to assign city demands to each truck by using multiple Call procedures.</t>
  </si>
  <si>
    <t>Also create a mini application to assign only one truck city demands.</t>
  </si>
  <si>
    <t>2 Questions</t>
  </si>
  <si>
    <t>Call a procedure to clear contents.</t>
  </si>
  <si>
    <t>For each truck, record the capacity then call a procedure to do the demand assignment.</t>
  </si>
  <si>
    <t>The called assignment procedure should receive the truck capacity and truck number. This procedure should use a Do Until</t>
  </si>
  <si>
    <t>loop to check if demand for each city can be assigned to the current truck.</t>
  </si>
  <si>
    <t>In your main procedure, record the total stops for each truck and call a procedure to calculate total cost.</t>
  </si>
  <si>
    <t>The total cost procedure should receive the total stops for each truck and report the total cost to the user.</t>
  </si>
  <si>
    <t>Call the clear contents procedure. Ask the user for the truck number. Record the capacity for this truck number and call</t>
  </si>
  <si>
    <t>demand assignment procedure for this truck.</t>
  </si>
  <si>
    <t>Truck Cost</t>
  </si>
  <si>
    <t>Demand Unit Cost</t>
  </si>
  <si>
    <t>Create an application to evaluate demand assignments for each truck.</t>
  </si>
  <si>
    <t>User should be able to calculate total truck costs (driver stops as well as demand assigned).</t>
  </si>
  <si>
    <t>3 Questions</t>
  </si>
  <si>
    <t>#1 Write a function to calculate total costs for a given truck number. Use this function in the spreadsheet.</t>
  </si>
  <si>
    <t>#1 Modify the procedure to assign city demands to each truck.</t>
  </si>
  <si>
    <t>#2 Create a new procedure to assign demand to only one truck.</t>
  </si>
  <si>
    <t>For the given truck number, check each row in the table to see if the truck was assigned a city demand. If so, update the total</t>
  </si>
  <si>
    <t xml:space="preserve">number of stops for the truck as well as the total demand assigned to the truck. Calculate the driver cost as total number of </t>
  </si>
  <si>
    <t>stops times driver cost. Calculate the demand cost as the total demand assigned times the demand unit cost. Return the sum of the</t>
  </si>
  <si>
    <t>driver cost and demand cost as the total cost for the truck.</t>
  </si>
  <si>
    <t>#2 Create a procedure to calculate the sum of all trucks based on given assignment values in table.</t>
  </si>
  <si>
    <t>For each truck, update the total truck costs using your truck cost function. Tell the user the total cost for all trucks.</t>
  </si>
  <si>
    <t>#3 Create a procedure to calculate the total cost for one truck.</t>
  </si>
  <si>
    <t>Ask the user for a truck number (if non-numeric error, ask user if they want to cancel). Use the truck cost function to tell the user</t>
  </si>
  <si>
    <t>the total cost for the given truck number. Then ask the user if they want to calculate a new truck number. If so, repeat the procedure.</t>
  </si>
  <si>
    <t>BIT 3424</t>
  </si>
  <si>
    <t>Dr. Şeref</t>
  </si>
  <si>
    <t>Student Name:</t>
  </si>
  <si>
    <t>Unique File ID:</t>
  </si>
  <si>
    <t>First Open:</t>
  </si>
  <si>
    <t>Honor Policy:</t>
  </si>
  <si>
    <t>I swear to uphold the Virginia Tech Honor Policy (as specified in the course syllabus).</t>
  </si>
  <si>
    <t>I will not copy another student's file.</t>
  </si>
  <si>
    <t>I will not share my file with another student.</t>
  </si>
  <si>
    <t>Student Initial:</t>
  </si>
  <si>
    <t>Create application to assign each city demand to a truck (assign = 1 or 0).</t>
  </si>
  <si>
    <t>(Assigned = 1 or 0, not demand value)</t>
  </si>
  <si>
    <t>For each truck, first ask user for capacity of each truck and write in "TruckCapacity" range, then</t>
  </si>
  <si>
    <t>use a nested Do Until loop to assign demands until capacity is full (or cities are all assigned).</t>
  </si>
  <si>
    <t>Zain Qadri</t>
  </si>
  <si>
    <t>done</t>
  </si>
  <si>
    <t>zq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</si>
</sst>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theme="3"/>
      <name val="Arial"/>
      <family val="2"/>
    </font>
    <font>
      <i/>
      <sz val="12"/>
      <name val="Arial"/>
      <family val="2"/>
    </font>
    <font>
      <b/>
      <i/>
      <sz val="12"/>
      <color theme="5" tint="0.39997558519241921"/>
      <name val="Arial"/>
      <family val="2"/>
    </font>
    <font>
      <sz val="12"/>
      <color theme="5" tint="0.39997558519241921"/>
      <name val="Arial"/>
      <family val="2"/>
    </font>
    <font>
      <i/>
      <sz val="12"/>
      <color theme="5" tint="0.39997558519241921"/>
      <name val="Arial"/>
      <family val="2"/>
    </font>
    <font>
      <sz val="12"/>
      <color theme="0" tint="-0.3499862666707357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38">
    <xf numFmtId="0" fontId="0" fillId="0" borderId="0" xfId="0"/>
    <xf numFmtId="0" fontId="2" fillId="2" borderId="1" xfId="0" applyFont="1" applyFill="1" applyBorder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  <xf numFmtId="0" fontId="3" fillId="4" borderId="2" xfId="0" applyFont="1" applyFill="1" applyBorder="1"/>
    <xf numFmtId="0" fontId="0" fillId="4" borderId="2" xfId="0" applyFill="1" applyBorder="1"/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0" fontId="3" fillId="5" borderId="0" xfId="0" applyFont="1" applyFill="1"/>
    <xf numFmtId="0" fontId="0" fillId="5" borderId="0" xfId="0" applyFill="1"/>
    <xf numFmtId="0" fontId="0" fillId="5" borderId="0" xfId="0" applyFill="1" applyAlignment="1">
      <alignment horizontal="left"/>
    </xf>
    <xf numFmtId="0" fontId="4" fillId="5" borderId="0" xfId="0" applyFont="1" applyFill="1"/>
    <xf numFmtId="0" fontId="1" fillId="3" borderId="3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1" fontId="0" fillId="5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164" fontId="0" fillId="0" borderId="0" xfId="0" applyNumberFormat="1"/>
    <xf numFmtId="0" fontId="6" fillId="9" borderId="0" xfId="1" applyFont="1" applyFill="1"/>
    <xf numFmtId="0" fontId="7" fillId="9" borderId="0" xfId="1" applyFont="1" applyFill="1"/>
    <xf numFmtId="0" fontId="8" fillId="9" borderId="0" xfId="1" applyFont="1" applyFill="1"/>
    <xf numFmtId="0" fontId="10" fillId="11" borderId="0" xfId="1" applyFont="1" applyFill="1" applyAlignment="1">
      <alignment horizontal="left"/>
    </xf>
    <xf numFmtId="0" fontId="11" fillId="9" borderId="0" xfId="1" applyFont="1" applyFill="1"/>
    <xf numFmtId="0" fontId="12" fillId="9" borderId="0" xfId="1" applyFont="1" applyFill="1"/>
    <xf numFmtId="0" fontId="13" fillId="9" borderId="0" xfId="1" applyFont="1" applyFill="1" applyAlignment="1">
      <alignment horizontal="left"/>
    </xf>
    <xf numFmtId="0" fontId="14" fillId="9" borderId="0" xfId="1" applyFont="1" applyFill="1"/>
    <xf numFmtId="0" fontId="10" fillId="9" borderId="0" xfId="1" applyFont="1" applyFill="1"/>
    <xf numFmtId="0" fontId="9" fillId="10" borderId="3" xfId="1" applyFont="1" applyFill="1" applyBorder="1" applyAlignment="1" applyProtection="1">
      <alignment horizontal="left"/>
      <protection locked="0"/>
    </xf>
    <xf numFmtId="0" fontId="4" fillId="0" borderId="0" xfId="0" applyFont="1"/>
    <xf numFmtId="0" fontId="9" fillId="10" borderId="4" xfId="1" applyFont="1" applyFill="1" applyBorder="1" applyAlignment="1" applyProtection="1">
      <alignment horizontal="left"/>
      <protection locked="0"/>
    </xf>
    <xf numFmtId="0" fontId="9" fillId="10" borderId="5" xfId="1" applyFont="1" applyFill="1" applyBorder="1" applyAlignment="1" applyProtection="1">
      <alignment horizontal="left"/>
      <protection locked="0"/>
    </xf>
    <xf numFmtId="0" fontId="9" fillId="10" borderId="6" xfId="1" applyFont="1" applyFill="1" applyBorder="1" applyAlignment="1" applyProtection="1">
      <alignment horizontal="left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388455</xdr:colOff>
      <xdr:row>27</xdr:row>
      <xdr:rowOff>188014</xdr:rowOff>
    </xdr:from>
    <xdr:to>
      <xdr:col>2</xdr:col>
      <xdr:colOff>239368</xdr:colOff>
      <xdr:row>31</xdr:row>
      <xdr:rowOff>38927</xdr:rowOff>
    </xdr:to>
    <xdr:sp macro="" textlink="">
      <xdr:nvSpPr>
        <xdr:cNvPr id="20" name="CityA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274694" y="12620210"/>
          <a:ext cx="670891" cy="612913"/>
        </a:xfrm>
        <a:prstGeom prst="ellipse">
          <a:avLst/>
        </a:prstGeom>
        <a:solidFill>
          <a:schemeClr val="bg1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chemeClr val="accent5"/>
              </a:solidFill>
            </a:rPr>
            <a:t>Alxnd</a:t>
          </a:r>
        </a:p>
      </xdr:txBody>
    </xdr:sp>
    <xdr:clientData/>
  </xdr:twoCellAnchor>
  <xdr:twoCellAnchor>
    <xdr:from>
      <xdr:col>1</xdr:col>
      <xdr:colOff>388455</xdr:colOff>
      <xdr:row>31</xdr:row>
      <xdr:rowOff>111814</xdr:rowOff>
    </xdr:from>
    <xdr:to>
      <xdr:col>2</xdr:col>
      <xdr:colOff>239368</xdr:colOff>
      <xdr:row>34</xdr:row>
      <xdr:rowOff>153227</xdr:rowOff>
    </xdr:to>
    <xdr:sp macro="" textlink="">
      <xdr:nvSpPr>
        <xdr:cNvPr id="21" name="CityB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274694" y="13306010"/>
          <a:ext cx="670891" cy="612913"/>
        </a:xfrm>
        <a:prstGeom prst="ellipse">
          <a:avLst/>
        </a:prstGeom>
        <a:solidFill>
          <a:schemeClr val="bg1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chemeClr val="accent5"/>
              </a:solidFill>
            </a:rPr>
            <a:t>Bburg</a:t>
          </a:r>
        </a:p>
      </xdr:txBody>
    </xdr:sp>
    <xdr:clientData/>
  </xdr:twoCellAnchor>
  <xdr:twoCellAnchor>
    <xdr:from>
      <xdr:col>1</xdr:col>
      <xdr:colOff>388455</xdr:colOff>
      <xdr:row>35</xdr:row>
      <xdr:rowOff>35614</xdr:rowOff>
    </xdr:from>
    <xdr:to>
      <xdr:col>2</xdr:col>
      <xdr:colOff>239368</xdr:colOff>
      <xdr:row>38</xdr:row>
      <xdr:rowOff>77027</xdr:rowOff>
    </xdr:to>
    <xdr:sp macro="" textlink="">
      <xdr:nvSpPr>
        <xdr:cNvPr id="22" name="CityC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274694" y="13991810"/>
          <a:ext cx="670891" cy="612913"/>
        </a:xfrm>
        <a:prstGeom prst="ellipse">
          <a:avLst/>
        </a:prstGeom>
        <a:solidFill>
          <a:schemeClr val="bg1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chemeClr val="accent5"/>
              </a:solidFill>
            </a:rPr>
            <a:t>Cburg</a:t>
          </a:r>
        </a:p>
      </xdr:txBody>
    </xdr:sp>
    <xdr:clientData/>
  </xdr:twoCellAnchor>
  <xdr:twoCellAnchor>
    <xdr:from>
      <xdr:col>1</xdr:col>
      <xdr:colOff>388455</xdr:colOff>
      <xdr:row>38</xdr:row>
      <xdr:rowOff>149914</xdr:rowOff>
    </xdr:from>
    <xdr:to>
      <xdr:col>2</xdr:col>
      <xdr:colOff>239368</xdr:colOff>
      <xdr:row>42</xdr:row>
      <xdr:rowOff>827</xdr:rowOff>
    </xdr:to>
    <xdr:sp macro="" textlink="">
      <xdr:nvSpPr>
        <xdr:cNvPr id="23" name="CityR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274694" y="14677610"/>
          <a:ext cx="670891" cy="612913"/>
        </a:xfrm>
        <a:prstGeom prst="ellipse">
          <a:avLst/>
        </a:prstGeom>
        <a:solidFill>
          <a:schemeClr val="bg1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chemeClr val="accent5"/>
              </a:solidFill>
            </a:rPr>
            <a:t>Roank</a:t>
          </a:r>
        </a:p>
      </xdr:txBody>
    </xdr:sp>
    <xdr:clientData/>
  </xdr:twoCellAnchor>
  <xdr:twoCellAnchor>
    <xdr:from>
      <xdr:col>1</xdr:col>
      <xdr:colOff>388455</xdr:colOff>
      <xdr:row>42</xdr:row>
      <xdr:rowOff>73714</xdr:rowOff>
    </xdr:from>
    <xdr:to>
      <xdr:col>2</xdr:col>
      <xdr:colOff>239368</xdr:colOff>
      <xdr:row>45</xdr:row>
      <xdr:rowOff>115127</xdr:rowOff>
    </xdr:to>
    <xdr:sp macro="" textlink="">
      <xdr:nvSpPr>
        <xdr:cNvPr id="24" name="City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274694" y="15363410"/>
          <a:ext cx="670891" cy="612913"/>
        </a:xfrm>
        <a:prstGeom prst="ellipse">
          <a:avLst/>
        </a:prstGeom>
        <a:solidFill>
          <a:schemeClr val="bg1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chemeClr val="accent5"/>
              </a:solidFill>
            </a:rPr>
            <a:t>Salem</a:t>
          </a:r>
        </a:p>
      </xdr:txBody>
    </xdr:sp>
    <xdr:clientData/>
  </xdr:twoCellAnchor>
  <xdr:twoCellAnchor>
    <xdr:from>
      <xdr:col>1</xdr:col>
      <xdr:colOff>388455</xdr:colOff>
      <xdr:row>45</xdr:row>
      <xdr:rowOff>188013</xdr:rowOff>
    </xdr:from>
    <xdr:to>
      <xdr:col>2</xdr:col>
      <xdr:colOff>239368</xdr:colOff>
      <xdr:row>49</xdr:row>
      <xdr:rowOff>38926</xdr:rowOff>
    </xdr:to>
    <xdr:sp macro="" textlink="">
      <xdr:nvSpPr>
        <xdr:cNvPr id="25" name="CityV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274694" y="16049209"/>
          <a:ext cx="670891" cy="612913"/>
        </a:xfrm>
        <a:prstGeom prst="ellipse">
          <a:avLst/>
        </a:prstGeom>
        <a:solidFill>
          <a:schemeClr val="bg1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chemeClr val="accent5"/>
              </a:solidFill>
            </a:rPr>
            <a:t>Vienn</a:t>
          </a:r>
        </a:p>
      </xdr:txBody>
    </xdr:sp>
    <xdr:clientData/>
  </xdr:twoCellAnchor>
  <xdr:twoCellAnchor>
    <xdr:from>
      <xdr:col>3</xdr:col>
      <xdr:colOff>847311</xdr:colOff>
      <xdr:row>34</xdr:row>
      <xdr:rowOff>827</xdr:rowOff>
    </xdr:from>
    <xdr:to>
      <xdr:col>4</xdr:col>
      <xdr:colOff>333789</xdr:colOff>
      <xdr:row>37</xdr:row>
      <xdr:rowOff>42240</xdr:rowOff>
    </xdr:to>
    <xdr:sp macro="" textlink="">
      <xdr:nvSpPr>
        <xdr:cNvPr id="26" name="Truck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3671681" y="13766523"/>
          <a:ext cx="670891" cy="612913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63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chemeClr val="accent5"/>
              </a:solidFill>
            </a:rPr>
            <a:t>Truck 1</a:t>
          </a:r>
        </a:p>
      </xdr:txBody>
    </xdr:sp>
    <xdr:clientData/>
  </xdr:twoCellAnchor>
  <xdr:twoCellAnchor>
    <xdr:from>
      <xdr:col>3</xdr:col>
      <xdr:colOff>847311</xdr:colOff>
      <xdr:row>37</xdr:row>
      <xdr:rowOff>115127</xdr:rowOff>
    </xdr:from>
    <xdr:to>
      <xdr:col>4</xdr:col>
      <xdr:colOff>333789</xdr:colOff>
      <xdr:row>40</xdr:row>
      <xdr:rowOff>156540</xdr:rowOff>
    </xdr:to>
    <xdr:sp macro="" textlink="">
      <xdr:nvSpPr>
        <xdr:cNvPr id="27" name="Truck2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671681" y="14452323"/>
          <a:ext cx="670891" cy="612913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 w="63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chemeClr val="accent5"/>
              </a:solidFill>
            </a:rPr>
            <a:t>Truck 2</a:t>
          </a:r>
        </a:p>
      </xdr:txBody>
    </xdr:sp>
    <xdr:clientData/>
  </xdr:twoCellAnchor>
  <xdr:twoCellAnchor>
    <xdr:from>
      <xdr:col>2</xdr:col>
      <xdr:colOff>141118</xdr:colOff>
      <xdr:row>28</xdr:row>
      <xdr:rowOff>87273</xdr:rowOff>
    </xdr:from>
    <xdr:to>
      <xdr:col>3</xdr:col>
      <xdr:colOff>847311</xdr:colOff>
      <xdr:row>35</xdr:row>
      <xdr:rowOff>116784</xdr:rowOff>
    </xdr:to>
    <xdr:cxnSp macro="">
      <xdr:nvCxnSpPr>
        <xdr:cNvPr id="30" name="CityA-Truck1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>
          <a:stCxn id="20" idx="7"/>
          <a:endCxn id="26" idx="2"/>
        </xdr:cNvCxnSpPr>
      </xdr:nvCxnSpPr>
      <xdr:spPr>
        <a:xfrm>
          <a:off x="1847335" y="12709969"/>
          <a:ext cx="1824346" cy="1363011"/>
        </a:xfrm>
        <a:prstGeom prst="straightConnector1">
          <a:avLst/>
        </a:prstGeom>
        <a:ln w="635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141118</xdr:colOff>
      <xdr:row>32</xdr:row>
      <xdr:rowOff>11073</xdr:rowOff>
    </xdr:from>
    <xdr:to>
      <xdr:col>3</xdr:col>
      <xdr:colOff>847311</xdr:colOff>
      <xdr:row>35</xdr:row>
      <xdr:rowOff>116784</xdr:rowOff>
    </xdr:to>
    <xdr:cxnSp macro="">
      <xdr:nvCxnSpPr>
        <xdr:cNvPr id="32" name="CityB-Truck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>
          <a:stCxn id="21" idx="7"/>
          <a:endCxn id="26" idx="2"/>
        </xdr:cNvCxnSpPr>
      </xdr:nvCxnSpPr>
      <xdr:spPr>
        <a:xfrm>
          <a:off x="1847335" y="13395769"/>
          <a:ext cx="1824346" cy="677211"/>
        </a:xfrm>
        <a:prstGeom prst="straightConnector1">
          <a:avLst/>
        </a:prstGeom>
        <a:ln w="635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141118</xdr:colOff>
      <xdr:row>35</xdr:row>
      <xdr:rowOff>116784</xdr:rowOff>
    </xdr:from>
    <xdr:to>
      <xdr:col>3</xdr:col>
      <xdr:colOff>847311</xdr:colOff>
      <xdr:row>35</xdr:row>
      <xdr:rowOff>125373</xdr:rowOff>
    </xdr:to>
    <xdr:cxnSp macro="">
      <xdr:nvCxnSpPr>
        <xdr:cNvPr id="35" name="CityC-Truck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>
          <a:stCxn id="22" idx="7"/>
          <a:endCxn id="26" idx="2"/>
        </xdr:cNvCxnSpPr>
      </xdr:nvCxnSpPr>
      <xdr:spPr>
        <a:xfrm flipV="1">
          <a:off x="1847335" y="14072980"/>
          <a:ext cx="1824346" cy="8589"/>
        </a:xfrm>
        <a:prstGeom prst="straightConnector1">
          <a:avLst/>
        </a:prstGeom>
        <a:ln w="635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141118</xdr:colOff>
      <xdr:row>35</xdr:row>
      <xdr:rowOff>116784</xdr:rowOff>
    </xdr:from>
    <xdr:to>
      <xdr:col>3</xdr:col>
      <xdr:colOff>847311</xdr:colOff>
      <xdr:row>39</xdr:row>
      <xdr:rowOff>49173</xdr:rowOff>
    </xdr:to>
    <xdr:cxnSp macro="">
      <xdr:nvCxnSpPr>
        <xdr:cNvPr id="37" name="CityR-Truck1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>
          <a:stCxn id="23" idx="7"/>
          <a:endCxn id="26" idx="2"/>
        </xdr:cNvCxnSpPr>
      </xdr:nvCxnSpPr>
      <xdr:spPr>
        <a:xfrm flipV="1">
          <a:off x="1847335" y="14072980"/>
          <a:ext cx="1824346" cy="694389"/>
        </a:xfrm>
        <a:prstGeom prst="straightConnector1">
          <a:avLst/>
        </a:prstGeom>
        <a:ln w="381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141118</xdr:colOff>
      <xdr:row>35</xdr:row>
      <xdr:rowOff>116784</xdr:rowOff>
    </xdr:from>
    <xdr:to>
      <xdr:col>3</xdr:col>
      <xdr:colOff>847311</xdr:colOff>
      <xdr:row>42</xdr:row>
      <xdr:rowOff>163473</xdr:rowOff>
    </xdr:to>
    <xdr:cxnSp macro="">
      <xdr:nvCxnSpPr>
        <xdr:cNvPr id="42" name="CityS-Truck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>
          <a:stCxn id="24" idx="7"/>
          <a:endCxn id="26" idx="2"/>
        </xdr:cNvCxnSpPr>
      </xdr:nvCxnSpPr>
      <xdr:spPr>
        <a:xfrm flipV="1">
          <a:off x="1847335" y="14072980"/>
          <a:ext cx="1824346" cy="1380189"/>
        </a:xfrm>
        <a:prstGeom prst="straightConnector1">
          <a:avLst/>
        </a:prstGeom>
        <a:ln w="381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141118</xdr:colOff>
      <xdr:row>35</xdr:row>
      <xdr:rowOff>116784</xdr:rowOff>
    </xdr:from>
    <xdr:to>
      <xdr:col>3</xdr:col>
      <xdr:colOff>847311</xdr:colOff>
      <xdr:row>46</xdr:row>
      <xdr:rowOff>87272</xdr:rowOff>
    </xdr:to>
    <xdr:cxnSp macro="">
      <xdr:nvCxnSpPr>
        <xdr:cNvPr id="44" name="CityV-Truck1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>
          <a:stCxn id="25" idx="7"/>
          <a:endCxn id="26" idx="2"/>
        </xdr:cNvCxnSpPr>
      </xdr:nvCxnSpPr>
      <xdr:spPr>
        <a:xfrm flipV="1">
          <a:off x="1847335" y="14072980"/>
          <a:ext cx="1824346" cy="2065988"/>
        </a:xfrm>
        <a:prstGeom prst="straightConnector1">
          <a:avLst/>
        </a:prstGeom>
        <a:ln w="381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239368</xdr:colOff>
      <xdr:row>29</xdr:row>
      <xdr:rowOff>113471</xdr:rowOff>
    </xdr:from>
    <xdr:to>
      <xdr:col>3</xdr:col>
      <xdr:colOff>847311</xdr:colOff>
      <xdr:row>39</xdr:row>
      <xdr:rowOff>40584</xdr:rowOff>
    </xdr:to>
    <xdr:cxnSp macro="">
      <xdr:nvCxnSpPr>
        <xdr:cNvPr id="46" name="CityA-Truck2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>
          <a:stCxn id="20" idx="6"/>
          <a:endCxn id="27" idx="2"/>
        </xdr:cNvCxnSpPr>
      </xdr:nvCxnSpPr>
      <xdr:spPr>
        <a:xfrm>
          <a:off x="1945585" y="12926667"/>
          <a:ext cx="1726096" cy="1832113"/>
        </a:xfrm>
        <a:prstGeom prst="straightConnector1">
          <a:avLst/>
        </a:prstGeom>
        <a:ln w="381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239368</xdr:colOff>
      <xdr:row>33</xdr:row>
      <xdr:rowOff>37271</xdr:rowOff>
    </xdr:from>
    <xdr:to>
      <xdr:col>3</xdr:col>
      <xdr:colOff>847311</xdr:colOff>
      <xdr:row>39</xdr:row>
      <xdr:rowOff>40584</xdr:rowOff>
    </xdr:to>
    <xdr:cxnSp macro="">
      <xdr:nvCxnSpPr>
        <xdr:cNvPr id="48" name="CityB-Truck2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>
          <a:stCxn id="21" idx="6"/>
          <a:endCxn id="27" idx="2"/>
        </xdr:cNvCxnSpPr>
      </xdr:nvCxnSpPr>
      <xdr:spPr>
        <a:xfrm>
          <a:off x="1945585" y="13612467"/>
          <a:ext cx="1726096" cy="1146313"/>
        </a:xfrm>
        <a:prstGeom prst="straightConnector1">
          <a:avLst/>
        </a:prstGeom>
        <a:ln w="381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239368</xdr:colOff>
      <xdr:row>36</xdr:row>
      <xdr:rowOff>151571</xdr:rowOff>
    </xdr:from>
    <xdr:to>
      <xdr:col>3</xdr:col>
      <xdr:colOff>847311</xdr:colOff>
      <xdr:row>39</xdr:row>
      <xdr:rowOff>40584</xdr:rowOff>
    </xdr:to>
    <xdr:cxnSp macro="">
      <xdr:nvCxnSpPr>
        <xdr:cNvPr id="50" name="CityC-Truck2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>
          <a:stCxn id="22" idx="6"/>
          <a:endCxn id="27" idx="2"/>
        </xdr:cNvCxnSpPr>
      </xdr:nvCxnSpPr>
      <xdr:spPr>
        <a:xfrm>
          <a:off x="1945585" y="14298267"/>
          <a:ext cx="1726096" cy="460513"/>
        </a:xfrm>
        <a:prstGeom prst="straightConnector1">
          <a:avLst/>
        </a:prstGeom>
        <a:ln w="381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239368</xdr:colOff>
      <xdr:row>39</xdr:row>
      <xdr:rowOff>40584</xdr:rowOff>
    </xdr:from>
    <xdr:to>
      <xdr:col>3</xdr:col>
      <xdr:colOff>847311</xdr:colOff>
      <xdr:row>40</xdr:row>
      <xdr:rowOff>75371</xdr:rowOff>
    </xdr:to>
    <xdr:cxnSp macro="">
      <xdr:nvCxnSpPr>
        <xdr:cNvPr id="52" name="CityR-Truck2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>
          <a:stCxn id="23" idx="6"/>
          <a:endCxn id="27" idx="2"/>
        </xdr:cNvCxnSpPr>
      </xdr:nvCxnSpPr>
      <xdr:spPr>
        <a:xfrm flipV="1">
          <a:off x="1945585" y="14758780"/>
          <a:ext cx="1726096" cy="225287"/>
        </a:xfrm>
        <a:prstGeom prst="straightConnector1">
          <a:avLst/>
        </a:prstGeom>
        <a:ln w="635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239368</xdr:colOff>
      <xdr:row>39</xdr:row>
      <xdr:rowOff>40584</xdr:rowOff>
    </xdr:from>
    <xdr:to>
      <xdr:col>3</xdr:col>
      <xdr:colOff>847311</xdr:colOff>
      <xdr:row>43</xdr:row>
      <xdr:rowOff>189671</xdr:rowOff>
    </xdr:to>
    <xdr:cxnSp macro="">
      <xdr:nvCxnSpPr>
        <xdr:cNvPr id="54" name="CityS-Truck2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CxnSpPr>
          <a:stCxn id="24" idx="6"/>
          <a:endCxn id="27" idx="2"/>
        </xdr:cNvCxnSpPr>
      </xdr:nvCxnSpPr>
      <xdr:spPr>
        <a:xfrm flipV="1">
          <a:off x="1945585" y="14758780"/>
          <a:ext cx="1726096" cy="911087"/>
        </a:xfrm>
        <a:prstGeom prst="straightConnector1">
          <a:avLst/>
        </a:prstGeom>
        <a:ln w="635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239368</xdr:colOff>
      <xdr:row>39</xdr:row>
      <xdr:rowOff>40584</xdr:rowOff>
    </xdr:from>
    <xdr:to>
      <xdr:col>3</xdr:col>
      <xdr:colOff>847311</xdr:colOff>
      <xdr:row>47</xdr:row>
      <xdr:rowOff>113470</xdr:rowOff>
    </xdr:to>
    <xdr:cxnSp macro="">
      <xdr:nvCxnSpPr>
        <xdr:cNvPr id="56" name="CityV-Truck2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>
          <a:stCxn id="25" idx="6"/>
          <a:endCxn id="27" idx="2"/>
        </xdr:cNvCxnSpPr>
      </xdr:nvCxnSpPr>
      <xdr:spPr>
        <a:xfrm flipV="1">
          <a:off x="1945585" y="14758780"/>
          <a:ext cx="1726096" cy="1596886"/>
        </a:xfrm>
        <a:prstGeom prst="straightConnector1">
          <a:avLst/>
        </a:prstGeom>
        <a:ln w="635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306456</xdr:colOff>
      <xdr:row>24</xdr:row>
      <xdr:rowOff>0</xdr:rowOff>
    </xdr:from>
    <xdr:to>
      <xdr:col>5</xdr:col>
      <xdr:colOff>356151</xdr:colOff>
      <xdr:row>26</xdr:row>
      <xdr:rowOff>24848</xdr:rowOff>
    </xdr:to>
    <xdr:sp macro="[0]!AssignDemand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3809999" y="3669196"/>
          <a:ext cx="1258956" cy="405848"/>
        </a:xfrm>
        <a:prstGeom prst="rect">
          <a:avLst/>
        </a:prstGeom>
        <a:solidFill>
          <a:schemeClr val="bg2">
            <a:lumMod val="75000"/>
          </a:schemeClr>
        </a:solidFill>
        <a:ln w="6350"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Assign</a:t>
          </a:r>
          <a:r>
            <a:rPr lang="en-US" sz="1100" b="1" baseline="0">
              <a:solidFill>
                <a:sysClr val="windowText" lastClr="000000"/>
              </a:solidFill>
            </a:rPr>
            <a:t> Demand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347870</xdr:colOff>
      <xdr:row>19</xdr:row>
      <xdr:rowOff>173935</xdr:rowOff>
    </xdr:from>
    <xdr:to>
      <xdr:col>7</xdr:col>
      <xdr:colOff>107673</xdr:colOff>
      <xdr:row>22</xdr:row>
      <xdr:rowOff>8283</xdr:rowOff>
    </xdr:to>
    <xdr:sp macro="[0]!AssignDemand2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060674" y="3652631"/>
          <a:ext cx="1258956" cy="405848"/>
        </a:xfrm>
        <a:prstGeom prst="rect">
          <a:avLst/>
        </a:prstGeom>
        <a:solidFill>
          <a:schemeClr val="bg2">
            <a:lumMod val="75000"/>
          </a:schemeClr>
        </a:solidFill>
        <a:ln w="6350"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Assign</a:t>
          </a:r>
          <a:r>
            <a:rPr lang="en-US" sz="1100" b="1" baseline="0">
              <a:solidFill>
                <a:sysClr val="windowText" lastClr="000000"/>
              </a:solidFill>
            </a:rPr>
            <a:t> Demand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347870</xdr:colOff>
      <xdr:row>24</xdr:row>
      <xdr:rowOff>173935</xdr:rowOff>
    </xdr:from>
    <xdr:to>
      <xdr:col>7</xdr:col>
      <xdr:colOff>107673</xdr:colOff>
      <xdr:row>27</xdr:row>
      <xdr:rowOff>8283</xdr:rowOff>
    </xdr:to>
    <xdr:sp macro="[0]!AssignDemand3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53220" y="3650560"/>
          <a:ext cx="1255228" cy="405848"/>
        </a:xfrm>
        <a:prstGeom prst="rect">
          <a:avLst/>
        </a:prstGeom>
        <a:solidFill>
          <a:schemeClr val="bg2">
            <a:lumMod val="75000"/>
          </a:schemeClr>
        </a:solidFill>
        <a:ln w="6350"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Assign</a:t>
          </a:r>
          <a:r>
            <a:rPr lang="en-US" sz="1100" b="1" baseline="0">
              <a:solidFill>
                <a:sysClr val="windowText" lastClr="000000"/>
              </a:solidFill>
            </a:rPr>
            <a:t> Demand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372717</xdr:colOff>
      <xdr:row>27</xdr:row>
      <xdr:rowOff>115956</xdr:rowOff>
    </xdr:from>
    <xdr:to>
      <xdr:col>7</xdr:col>
      <xdr:colOff>132520</xdr:colOff>
      <xdr:row>29</xdr:row>
      <xdr:rowOff>140804</xdr:rowOff>
    </xdr:to>
    <xdr:sp macro="[0]!OneTruc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085521" y="4166152"/>
          <a:ext cx="1258956" cy="405848"/>
        </a:xfrm>
        <a:prstGeom prst="rect">
          <a:avLst/>
        </a:prstGeom>
        <a:solidFill>
          <a:schemeClr val="bg2">
            <a:lumMod val="75000"/>
          </a:schemeClr>
        </a:solidFill>
        <a:ln w="6350"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Assign ONE Truck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248478</xdr:colOff>
      <xdr:row>25</xdr:row>
      <xdr:rowOff>41413</xdr:rowOff>
    </xdr:from>
    <xdr:to>
      <xdr:col>7</xdr:col>
      <xdr:colOff>8281</xdr:colOff>
      <xdr:row>27</xdr:row>
      <xdr:rowOff>149087</xdr:rowOff>
    </xdr:to>
    <xdr:sp macro="[0]!AllTruckCos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292587" y="4853609"/>
          <a:ext cx="1258955" cy="488674"/>
        </a:xfrm>
        <a:prstGeom prst="rect">
          <a:avLst/>
        </a:prstGeom>
        <a:solidFill>
          <a:schemeClr val="bg2">
            <a:lumMod val="75000"/>
          </a:schemeClr>
        </a:solidFill>
        <a:ln w="6350"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Calculate Total Costs</a:t>
          </a:r>
        </a:p>
      </xdr:txBody>
    </xdr:sp>
    <xdr:clientData/>
  </xdr:twoCellAnchor>
  <xdr:twoCellAnchor>
    <xdr:from>
      <xdr:col>5</xdr:col>
      <xdr:colOff>240196</xdr:colOff>
      <xdr:row>28</xdr:row>
      <xdr:rowOff>57978</xdr:rowOff>
    </xdr:from>
    <xdr:to>
      <xdr:col>6</xdr:col>
      <xdr:colOff>571499</xdr:colOff>
      <xdr:row>30</xdr:row>
      <xdr:rowOff>165652</xdr:rowOff>
    </xdr:to>
    <xdr:sp macro="[0]!Truck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284305" y="5441674"/>
          <a:ext cx="1258955" cy="488674"/>
        </a:xfrm>
        <a:prstGeom prst="rect">
          <a:avLst/>
        </a:prstGeom>
        <a:solidFill>
          <a:schemeClr val="bg2">
            <a:lumMod val="75000"/>
          </a:schemeClr>
        </a:solidFill>
        <a:ln w="6350"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Calculate One Truck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2:G16"/>
  <sheetViews>
    <sheetView showGridLines="0" showRowColHeaders="0" workbookViewId="0">
      <selection activeCell="D5" sqref="D5:G5"/>
    </sheetView>
  </sheetViews>
  <sheetFormatPr defaultColWidth="9.140625" defaultRowHeight="15" x14ac:dyDescent="0.2"/>
  <cols>
    <col min="1" max="16384" width="9.140625" style="25"/>
  </cols>
  <sheetData>
    <row r="2" spans="2:7" ht="20.25" x14ac:dyDescent="0.3">
      <c r="B2" s="24" t="s">
        <v>61</v>
      </c>
    </row>
    <row r="3" spans="2:7" ht="20.25" x14ac:dyDescent="0.3">
      <c r="B3" s="24" t="s">
        <v>62</v>
      </c>
    </row>
    <row r="4" spans="2:7" ht="15.75" x14ac:dyDescent="0.25">
      <c r="B4" s="26"/>
    </row>
    <row r="5" spans="2:7" ht="15.75" x14ac:dyDescent="0.25">
      <c r="B5" s="26" t="s">
        <v>63</v>
      </c>
      <c r="D5" s="35" t="s">
        <v>75</v>
      </c>
      <c r="E5" s="36"/>
      <c r="F5" s="36"/>
      <c r="G5" s="37"/>
    </row>
    <row r="6" spans="2:7" ht="15.75" x14ac:dyDescent="0.25">
      <c r="B6" s="26"/>
    </row>
    <row r="7" spans="2:7" ht="15.75" x14ac:dyDescent="0.25">
      <c r="B7" s="26" t="s">
        <v>64</v>
      </c>
      <c r="D7" s="27">
        <v>50131</v>
      </c>
    </row>
    <row r="8" spans="2:7" x14ac:dyDescent="0.2">
      <c r="B8" s="28" t="s">
        <v>65</v>
      </c>
      <c r="C8" s="29"/>
      <c r="D8" s="30" t="s">
        <v>76</v>
      </c>
    </row>
    <row r="9" spans="2:7" x14ac:dyDescent="0.2">
      <c r="B9" s="28"/>
      <c r="C9" s="29"/>
      <c r="D9" s="30"/>
    </row>
    <row r="10" spans="2:7" x14ac:dyDescent="0.2">
      <c r="B10" s="31"/>
      <c r="C10" s="31"/>
      <c r="D10" s="31"/>
    </row>
    <row r="11" spans="2:7" ht="15.75" x14ac:dyDescent="0.25">
      <c r="B11" s="26" t="s">
        <v>66</v>
      </c>
    </row>
    <row r="12" spans="2:7" x14ac:dyDescent="0.2">
      <c r="B12" s="32" t="s">
        <v>67</v>
      </c>
    </row>
    <row r="13" spans="2:7" x14ac:dyDescent="0.2">
      <c r="B13" s="32" t="s">
        <v>68</v>
      </c>
    </row>
    <row r="14" spans="2:7" x14ac:dyDescent="0.2">
      <c r="B14" s="32" t="s">
        <v>69</v>
      </c>
    </row>
    <row r="16" spans="2:7" ht="15.75" x14ac:dyDescent="0.25">
      <c r="B16" s="26" t="s">
        <v>70</v>
      </c>
      <c r="D16" s="33" t="s">
        <v>77</v>
      </c>
    </row>
  </sheetData>
  <sheetProtection algorithmName="SHA-512" hashValue="mKkZnq1Od6cFlU5pYhk7UI3aEHeHXntDY1fj9Ai4ps3+p++qpq1bCSOeHJHGE3ChAZATemnetRWSUc4IFf+yJQ==" saltValue="nnB5+yfO+X9WDkz3ng1gJg==" spinCount="100000" sheet="1" objects="1" scenarios="1" selectLockedCells="1"/>
  <mergeCells count="1">
    <mergeCell ref="D5:G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25"/>
  <sheetViews>
    <sheetView tabSelected="1" zoomScale="115" zoomScaleNormal="115" workbookViewId="0">
      <selection activeCell="I20" sqref="I20"/>
    </sheetView>
  </sheetViews>
  <sheetFormatPr defaultColWidth="4.7109375" defaultRowHeight="15" x14ac:dyDescent="0.25"/>
  <cols>
    <col min="1" max="1" width="5.7109375" customWidth="1"/>
    <col min="2" max="2" width="12.28515625" bestFit="1" customWidth="1"/>
    <col min="3" max="3" width="16.7109375" bestFit="1" customWidth="1"/>
    <col min="4" max="4" width="17.7109375" customWidth="1"/>
    <col min="5" max="5" width="18.140625" bestFit="1" customWidth="1"/>
    <col min="6" max="6" width="13.85546875" bestFit="1" customWidth="1"/>
    <col min="7" max="7" width="21.85546875" customWidth="1"/>
    <col min="8" max="8" width="5.140625" customWidth="1"/>
    <col min="9" max="9" width="5.85546875" customWidth="1"/>
    <col min="10" max="10" width="4.85546875" customWidth="1"/>
    <col min="11" max="11" width="6.140625" customWidth="1"/>
  </cols>
  <sheetData>
    <row r="1" spans="1:8" ht="18.75" x14ac:dyDescent="0.3">
      <c r="A1" s="1" t="s">
        <v>1</v>
      </c>
      <c r="B1" s="2"/>
      <c r="C1" s="3"/>
      <c r="D1" s="3"/>
      <c r="E1" s="3"/>
      <c r="F1" s="4"/>
      <c r="G1" s="2"/>
      <c r="H1" s="3"/>
    </row>
    <row r="2" spans="1:8" x14ac:dyDescent="0.25">
      <c r="A2" s="5" t="s">
        <v>16</v>
      </c>
      <c r="B2" s="6"/>
      <c r="C2" s="6"/>
      <c r="D2" s="6"/>
      <c r="E2" s="6"/>
      <c r="F2" s="7"/>
      <c r="G2" s="6"/>
      <c r="H2" s="6"/>
    </row>
    <row r="3" spans="1:8" x14ac:dyDescent="0.25">
      <c r="A3" s="5" t="s">
        <v>17</v>
      </c>
      <c r="B3" s="6"/>
      <c r="C3" s="6"/>
      <c r="D3" s="6"/>
      <c r="E3" s="6"/>
      <c r="F3" s="7"/>
      <c r="G3" s="6"/>
      <c r="H3" s="6"/>
    </row>
    <row r="4" spans="1:8" x14ac:dyDescent="0.25">
      <c r="A4" s="8" t="s">
        <v>18</v>
      </c>
      <c r="B4" s="9"/>
      <c r="C4" s="9"/>
      <c r="D4" s="9"/>
      <c r="E4" s="9"/>
      <c r="F4" s="10"/>
      <c r="G4" s="9"/>
      <c r="H4" s="9"/>
    </row>
    <row r="5" spans="1:8" x14ac:dyDescent="0.25">
      <c r="F5" s="11"/>
    </row>
    <row r="6" spans="1:8" x14ac:dyDescent="0.25">
      <c r="A6" s="12" t="s">
        <v>71</v>
      </c>
      <c r="B6" s="13"/>
      <c r="C6" s="13"/>
      <c r="D6" s="13"/>
      <c r="E6" s="13"/>
      <c r="F6" s="14"/>
      <c r="G6" s="13"/>
      <c r="H6" s="13"/>
    </row>
    <row r="7" spans="1:8" x14ac:dyDescent="0.25">
      <c r="A7" s="15" t="s">
        <v>19</v>
      </c>
      <c r="B7" s="13"/>
      <c r="C7" s="13"/>
      <c r="D7" s="13"/>
      <c r="E7" s="13"/>
      <c r="F7" s="14"/>
      <c r="G7" s="13"/>
      <c r="H7" s="13"/>
    </row>
    <row r="8" spans="1:8" x14ac:dyDescent="0.25">
      <c r="A8" s="15" t="s">
        <v>23</v>
      </c>
      <c r="B8" s="13"/>
      <c r="C8" s="13"/>
      <c r="D8" s="13"/>
      <c r="E8" s="13"/>
      <c r="F8" s="14"/>
      <c r="G8" s="13"/>
      <c r="H8" s="13"/>
    </row>
    <row r="9" spans="1:8" x14ac:dyDescent="0.25">
      <c r="A9" s="15" t="s">
        <v>20</v>
      </c>
      <c r="B9" s="13"/>
      <c r="C9" s="13"/>
      <c r="D9" s="13"/>
      <c r="E9" s="13"/>
      <c r="F9" s="14"/>
      <c r="G9" s="13"/>
      <c r="H9" s="13"/>
    </row>
    <row r="10" spans="1:8" x14ac:dyDescent="0.25">
      <c r="A10" s="15" t="s">
        <v>24</v>
      </c>
      <c r="B10" s="13"/>
      <c r="C10" s="13"/>
      <c r="D10" s="13"/>
      <c r="E10" s="13"/>
      <c r="F10" s="14"/>
      <c r="G10" s="13"/>
      <c r="H10" s="13"/>
    </row>
    <row r="11" spans="1:8" x14ac:dyDescent="0.25">
      <c r="A11" s="15" t="s">
        <v>25</v>
      </c>
      <c r="B11" s="13"/>
      <c r="C11" s="13"/>
      <c r="D11" s="13"/>
      <c r="E11" s="13"/>
      <c r="F11" s="14"/>
      <c r="G11" s="13"/>
      <c r="H11" s="13"/>
    </row>
    <row r="12" spans="1:8" x14ac:dyDescent="0.25">
      <c r="A12" s="15" t="s">
        <v>21</v>
      </c>
      <c r="B12" s="13"/>
      <c r="C12" s="13"/>
      <c r="D12" s="13"/>
      <c r="E12" s="13"/>
      <c r="F12" s="14"/>
      <c r="G12" s="13"/>
      <c r="H12" s="13"/>
    </row>
    <row r="13" spans="1:8" x14ac:dyDescent="0.25">
      <c r="A13" s="15" t="s">
        <v>27</v>
      </c>
      <c r="B13" s="13"/>
      <c r="C13" s="13"/>
      <c r="D13" s="13"/>
      <c r="E13" s="13"/>
      <c r="F13" s="14"/>
      <c r="G13" s="13"/>
      <c r="H13" s="13"/>
    </row>
    <row r="14" spans="1:8" x14ac:dyDescent="0.25">
      <c r="A14" s="15" t="s">
        <v>26</v>
      </c>
      <c r="B14" s="13"/>
      <c r="C14" s="13"/>
      <c r="D14" s="13"/>
      <c r="E14" s="13"/>
      <c r="F14" s="14"/>
      <c r="G14" s="13"/>
      <c r="H14" s="13"/>
    </row>
    <row r="16" spans="1:8" x14ac:dyDescent="0.25">
      <c r="C16" s="34" t="s">
        <v>72</v>
      </c>
    </row>
    <row r="17" spans="2:5" x14ac:dyDescent="0.25">
      <c r="B17" s="16" t="s">
        <v>4</v>
      </c>
      <c r="C17" s="16" t="s">
        <v>5</v>
      </c>
      <c r="D17" s="16" t="s">
        <v>6</v>
      </c>
      <c r="E17" s="16" t="s">
        <v>8</v>
      </c>
    </row>
    <row r="18" spans="2:5" x14ac:dyDescent="0.25">
      <c r="B18" s="17" t="s">
        <v>11</v>
      </c>
      <c r="C18" s="18"/>
      <c r="D18" s="18">
        <v>1</v>
      </c>
      <c r="E18" s="20">
        <v>233</v>
      </c>
    </row>
    <row r="19" spans="2:5" x14ac:dyDescent="0.25">
      <c r="B19" s="17" t="s">
        <v>10</v>
      </c>
      <c r="C19" s="18"/>
      <c r="D19" s="18">
        <v>1</v>
      </c>
      <c r="E19" s="20">
        <v>349</v>
      </c>
    </row>
    <row r="20" spans="2:5" x14ac:dyDescent="0.25">
      <c r="B20" s="17" t="s">
        <v>9</v>
      </c>
      <c r="C20" s="18"/>
      <c r="D20" s="18">
        <v>1</v>
      </c>
      <c r="E20" s="20">
        <v>383</v>
      </c>
    </row>
    <row r="21" spans="2:5" x14ac:dyDescent="0.25">
      <c r="B21" s="17" t="s">
        <v>14</v>
      </c>
      <c r="C21" s="18">
        <v>1</v>
      </c>
      <c r="D21" s="18"/>
      <c r="E21" s="20">
        <v>462</v>
      </c>
    </row>
    <row r="22" spans="2:5" x14ac:dyDescent="0.25">
      <c r="B22" s="17" t="s">
        <v>13</v>
      </c>
      <c r="C22" s="18">
        <v>1</v>
      </c>
      <c r="D22" s="18"/>
      <c r="E22" s="20">
        <v>553</v>
      </c>
    </row>
    <row r="23" spans="2:5" x14ac:dyDescent="0.25">
      <c r="B23" s="17" t="s">
        <v>12</v>
      </c>
      <c r="C23" s="18">
        <v>1</v>
      </c>
      <c r="D23" s="18"/>
      <c r="E23" s="20">
        <v>565</v>
      </c>
    </row>
    <row r="25" spans="2:5" x14ac:dyDescent="0.25">
      <c r="B25" s="16" t="s">
        <v>22</v>
      </c>
      <c r="C25" s="19">
        <v>10</v>
      </c>
      <c r="D25" s="19">
        <v>50</v>
      </c>
    </row>
  </sheetData>
  <sortState xmlns:xlrd2="http://schemas.microsoft.com/office/spreadsheetml/2017/richdata2" ref="B18:E23">
    <sortCondition ref="E1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2"/>
  <sheetViews>
    <sheetView zoomScale="115" zoomScaleNormal="115" workbookViewId="0">
      <selection activeCell="G19" sqref="G19"/>
    </sheetView>
  </sheetViews>
  <sheetFormatPr defaultColWidth="4.7109375" defaultRowHeight="15" x14ac:dyDescent="0.25"/>
  <cols>
    <col min="1" max="1" width="5.7109375" customWidth="1"/>
    <col min="2" max="2" width="12.28515625" bestFit="1" customWidth="1"/>
    <col min="3" max="3" width="16.7109375" bestFit="1" customWidth="1"/>
    <col min="4" max="4" width="17.7109375" customWidth="1"/>
    <col min="5" max="5" width="18.140625" bestFit="1" customWidth="1"/>
    <col min="6" max="6" width="13.85546875" bestFit="1" customWidth="1"/>
    <col min="7" max="7" width="8.5703125" bestFit="1" customWidth="1"/>
    <col min="8" max="8" width="18.42578125" bestFit="1" customWidth="1"/>
    <col min="9" max="9" width="5.85546875" customWidth="1"/>
    <col min="10" max="10" width="4.85546875" customWidth="1"/>
    <col min="11" max="11" width="6.140625" customWidth="1"/>
  </cols>
  <sheetData>
    <row r="1" spans="1:8" ht="18.75" x14ac:dyDescent="0.3">
      <c r="A1" s="1" t="s">
        <v>0</v>
      </c>
      <c r="B1" s="2"/>
      <c r="C1" s="3"/>
      <c r="D1" s="3"/>
      <c r="E1" s="3"/>
      <c r="F1" s="4"/>
      <c r="G1" s="2"/>
      <c r="H1" s="3"/>
    </row>
    <row r="2" spans="1:8" x14ac:dyDescent="0.25">
      <c r="A2" s="5" t="s">
        <v>28</v>
      </c>
      <c r="B2" s="6"/>
      <c r="C2" s="6"/>
      <c r="D2" s="6"/>
      <c r="E2" s="6"/>
      <c r="F2" s="7"/>
      <c r="G2" s="6"/>
      <c r="H2" s="6"/>
    </row>
    <row r="3" spans="1:8" x14ac:dyDescent="0.25">
      <c r="A3" s="5" t="s">
        <v>29</v>
      </c>
      <c r="B3" s="6"/>
      <c r="C3" s="6"/>
      <c r="D3" s="6"/>
      <c r="E3" s="6"/>
      <c r="F3" s="7"/>
      <c r="G3" s="6"/>
      <c r="H3" s="6"/>
    </row>
    <row r="4" spans="1:8" x14ac:dyDescent="0.25">
      <c r="A4" s="8" t="s">
        <v>18</v>
      </c>
      <c r="B4" s="9"/>
      <c r="C4" s="9"/>
      <c r="D4" s="9"/>
      <c r="E4" s="9"/>
      <c r="F4" s="10"/>
      <c r="G4" s="9"/>
      <c r="H4" s="9"/>
    </row>
    <row r="5" spans="1:8" x14ac:dyDescent="0.25">
      <c r="F5" s="11"/>
    </row>
    <row r="6" spans="1:8" x14ac:dyDescent="0.25">
      <c r="A6" s="12" t="s">
        <v>30</v>
      </c>
      <c r="B6" s="13"/>
      <c r="C6" s="13"/>
      <c r="D6" s="13"/>
      <c r="E6" s="13"/>
      <c r="F6" s="14"/>
      <c r="G6" s="13"/>
      <c r="H6" s="13"/>
    </row>
    <row r="7" spans="1:8" x14ac:dyDescent="0.25">
      <c r="A7" s="15" t="s">
        <v>31</v>
      </c>
      <c r="B7" s="13"/>
      <c r="C7" s="13"/>
      <c r="D7" s="13"/>
      <c r="E7" s="13"/>
      <c r="F7" s="14"/>
      <c r="G7" s="13"/>
      <c r="H7" s="13"/>
    </row>
    <row r="8" spans="1:8" x14ac:dyDescent="0.25">
      <c r="A8" s="15" t="s">
        <v>73</v>
      </c>
      <c r="B8" s="13"/>
      <c r="C8" s="13"/>
      <c r="D8" s="13"/>
      <c r="E8" s="13"/>
      <c r="F8" s="14"/>
      <c r="G8" s="13"/>
      <c r="H8" s="13"/>
    </row>
    <row r="9" spans="1:8" x14ac:dyDescent="0.25">
      <c r="A9" s="15" t="s">
        <v>74</v>
      </c>
      <c r="B9" s="13"/>
      <c r="C9" s="13"/>
      <c r="D9" s="13"/>
      <c r="E9" s="13"/>
      <c r="F9" s="14"/>
      <c r="G9" s="13"/>
      <c r="H9" s="13"/>
    </row>
    <row r="10" spans="1:8" x14ac:dyDescent="0.25">
      <c r="A10" s="15" t="s">
        <v>32</v>
      </c>
      <c r="B10" s="13"/>
      <c r="C10" s="13"/>
      <c r="D10" s="13"/>
      <c r="E10" s="13"/>
      <c r="F10" s="14"/>
      <c r="G10" s="13"/>
      <c r="H10" s="13"/>
    </row>
    <row r="13" spans="1:8" x14ac:dyDescent="0.25">
      <c r="B13" s="16" t="s">
        <v>4</v>
      </c>
      <c r="C13" s="16" t="s">
        <v>5</v>
      </c>
      <c r="D13" s="16" t="s">
        <v>6</v>
      </c>
      <c r="E13" s="16" t="s">
        <v>7</v>
      </c>
      <c r="F13" s="16" t="s">
        <v>8</v>
      </c>
    </row>
    <row r="14" spans="1:8" x14ac:dyDescent="0.25">
      <c r="B14" s="17" t="s">
        <v>11</v>
      </c>
      <c r="C14" s="18">
        <v>1</v>
      </c>
      <c r="D14" s="18"/>
      <c r="E14" s="18"/>
      <c r="F14" s="20">
        <v>233</v>
      </c>
    </row>
    <row r="15" spans="1:8" x14ac:dyDescent="0.25">
      <c r="B15" s="17" t="s">
        <v>10</v>
      </c>
      <c r="C15" s="18"/>
      <c r="D15" s="18">
        <v>1</v>
      </c>
      <c r="E15" s="18"/>
      <c r="F15" s="20">
        <v>349</v>
      </c>
    </row>
    <row r="16" spans="1:8" x14ac:dyDescent="0.25">
      <c r="B16" s="17" t="s">
        <v>9</v>
      </c>
      <c r="C16" s="18"/>
      <c r="D16" s="18"/>
      <c r="E16" s="18">
        <v>1</v>
      </c>
      <c r="F16" s="20">
        <v>383</v>
      </c>
    </row>
    <row r="17" spans="2:6" x14ac:dyDescent="0.25">
      <c r="B17" s="17" t="s">
        <v>14</v>
      </c>
      <c r="C17" s="18"/>
      <c r="D17" s="18"/>
      <c r="E17" s="18">
        <v>1</v>
      </c>
      <c r="F17" s="20">
        <v>462</v>
      </c>
    </row>
    <row r="18" spans="2:6" x14ac:dyDescent="0.25">
      <c r="B18" s="17" t="s">
        <v>13</v>
      </c>
      <c r="C18" s="18"/>
      <c r="D18" s="18"/>
      <c r="E18" s="18"/>
      <c r="F18" s="20">
        <v>553</v>
      </c>
    </row>
    <row r="19" spans="2:6" x14ac:dyDescent="0.25">
      <c r="B19" s="17" t="s">
        <v>12</v>
      </c>
      <c r="C19" s="18"/>
      <c r="D19" s="18"/>
      <c r="E19" s="18"/>
      <c r="F19" s="20">
        <v>565</v>
      </c>
    </row>
    <row r="21" spans="2:6" x14ac:dyDescent="0.25">
      <c r="B21" s="16" t="s">
        <v>15</v>
      </c>
      <c r="C21" s="21">
        <v>400</v>
      </c>
      <c r="D21" s="21">
        <v>500</v>
      </c>
      <c r="E21" s="21">
        <v>1000</v>
      </c>
    </row>
    <row r="22" spans="2:6" x14ac:dyDescent="0.25">
      <c r="B22" s="16" t="s">
        <v>22</v>
      </c>
      <c r="C22" s="19">
        <v>10</v>
      </c>
      <c r="D22" s="19">
        <v>30</v>
      </c>
      <c r="E22" s="19">
        <v>50</v>
      </c>
    </row>
  </sheetData>
  <sortState xmlns:xlrd2="http://schemas.microsoft.com/office/spreadsheetml/2017/richdata2" ref="B14:F19">
    <sortCondition ref="F14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27"/>
  <sheetViews>
    <sheetView topLeftCell="A3" zoomScale="115" zoomScaleNormal="115" workbookViewId="0">
      <selection activeCell="H26" sqref="H26"/>
    </sheetView>
  </sheetViews>
  <sheetFormatPr defaultColWidth="4.7109375" defaultRowHeight="15" x14ac:dyDescent="0.25"/>
  <cols>
    <col min="1" max="1" width="5.7109375" customWidth="1"/>
    <col min="2" max="2" width="12.28515625" bestFit="1" customWidth="1"/>
    <col min="3" max="3" width="16.7109375" bestFit="1" customWidth="1"/>
    <col min="4" max="4" width="17.7109375" customWidth="1"/>
    <col min="5" max="5" width="18.140625" bestFit="1" customWidth="1"/>
    <col min="6" max="6" width="13.85546875" bestFit="1" customWidth="1"/>
    <col min="7" max="7" width="8.5703125" bestFit="1" customWidth="1"/>
    <col min="8" max="8" width="18.42578125" bestFit="1" customWidth="1"/>
    <col min="9" max="9" width="5.85546875" customWidth="1"/>
    <col min="10" max="10" width="4.85546875" customWidth="1"/>
    <col min="11" max="11" width="6.140625" customWidth="1"/>
  </cols>
  <sheetData>
    <row r="1" spans="1:8" ht="18.75" x14ac:dyDescent="0.3">
      <c r="A1" s="1" t="s">
        <v>2</v>
      </c>
      <c r="B1" s="2"/>
      <c r="C1" s="3"/>
      <c r="D1" s="3"/>
      <c r="E1" s="3"/>
      <c r="F1" s="4"/>
      <c r="G1" s="2"/>
      <c r="H1" s="3"/>
    </row>
    <row r="2" spans="1:8" x14ac:dyDescent="0.25">
      <c r="A2" s="5" t="s">
        <v>33</v>
      </c>
      <c r="B2" s="6"/>
      <c r="C2" s="6"/>
      <c r="D2" s="6"/>
      <c r="E2" s="6"/>
      <c r="F2" s="7"/>
      <c r="G2" s="6"/>
      <c r="H2" s="6"/>
    </row>
    <row r="3" spans="1:8" x14ac:dyDescent="0.25">
      <c r="A3" s="5" t="s">
        <v>34</v>
      </c>
      <c r="B3" s="6"/>
      <c r="C3" s="6"/>
      <c r="D3" s="6"/>
      <c r="E3" s="6"/>
      <c r="F3" s="7"/>
      <c r="G3" s="6"/>
      <c r="H3" s="6"/>
    </row>
    <row r="4" spans="1:8" x14ac:dyDescent="0.25">
      <c r="A4" s="8" t="s">
        <v>35</v>
      </c>
      <c r="B4" s="9"/>
      <c r="C4" s="9"/>
      <c r="D4" s="9"/>
      <c r="E4" s="9"/>
      <c r="F4" s="10"/>
      <c r="G4" s="9"/>
      <c r="H4" s="9"/>
    </row>
    <row r="5" spans="1:8" x14ac:dyDescent="0.25">
      <c r="F5" s="11"/>
    </row>
    <row r="6" spans="1:8" x14ac:dyDescent="0.25">
      <c r="A6" s="12" t="s">
        <v>50</v>
      </c>
      <c r="B6" s="13"/>
      <c r="C6" s="13"/>
      <c r="D6" s="13"/>
      <c r="E6" s="13"/>
      <c r="F6" s="14"/>
      <c r="G6" s="13"/>
      <c r="H6" s="13"/>
    </row>
    <row r="7" spans="1:8" x14ac:dyDescent="0.25">
      <c r="A7" s="15" t="s">
        <v>36</v>
      </c>
      <c r="B7" s="13"/>
      <c r="C7" s="13"/>
      <c r="D7" s="13"/>
      <c r="E7" s="13"/>
      <c r="F7" s="14"/>
      <c r="G7" s="13"/>
      <c r="H7" s="13"/>
    </row>
    <row r="8" spans="1:8" x14ac:dyDescent="0.25">
      <c r="A8" s="15" t="s">
        <v>37</v>
      </c>
      <c r="B8" s="13"/>
      <c r="C8" s="13"/>
      <c r="D8" s="13"/>
      <c r="E8" s="13"/>
      <c r="F8" s="14"/>
      <c r="G8" s="13"/>
      <c r="H8" s="13"/>
    </row>
    <row r="9" spans="1:8" x14ac:dyDescent="0.25">
      <c r="A9" s="15" t="s">
        <v>38</v>
      </c>
      <c r="B9" s="13"/>
      <c r="C9" s="13"/>
      <c r="D9" s="13"/>
      <c r="E9" s="13"/>
      <c r="F9" s="14"/>
      <c r="G9" s="13"/>
      <c r="H9" s="13"/>
    </row>
    <row r="10" spans="1:8" x14ac:dyDescent="0.25">
      <c r="A10" s="15" t="s">
        <v>39</v>
      </c>
      <c r="B10" s="13"/>
      <c r="C10" s="13"/>
      <c r="D10" s="13"/>
      <c r="E10" s="13"/>
      <c r="F10" s="14"/>
      <c r="G10" s="13"/>
      <c r="H10" s="13"/>
    </row>
    <row r="11" spans="1:8" x14ac:dyDescent="0.25">
      <c r="A11" s="15" t="s">
        <v>40</v>
      </c>
      <c r="B11" s="13"/>
      <c r="C11" s="13"/>
      <c r="D11" s="13"/>
      <c r="E11" s="13"/>
      <c r="F11" s="14"/>
      <c r="G11" s="13"/>
      <c r="H11" s="13"/>
    </row>
    <row r="12" spans="1:8" x14ac:dyDescent="0.25">
      <c r="A12" s="15" t="s">
        <v>41</v>
      </c>
      <c r="B12" s="13"/>
      <c r="C12" s="13"/>
      <c r="D12" s="13"/>
      <c r="E12" s="13"/>
      <c r="F12" s="14"/>
      <c r="G12" s="13"/>
      <c r="H12" s="13"/>
    </row>
    <row r="13" spans="1:8" x14ac:dyDescent="0.25">
      <c r="A13" s="12" t="s">
        <v>51</v>
      </c>
      <c r="B13" s="13"/>
      <c r="C13" s="13"/>
      <c r="D13" s="13"/>
      <c r="E13" s="13"/>
      <c r="F13" s="14"/>
      <c r="G13" s="13"/>
      <c r="H13" s="13"/>
    </row>
    <row r="14" spans="1:8" x14ac:dyDescent="0.25">
      <c r="A14" s="15" t="s">
        <v>42</v>
      </c>
      <c r="B14" s="13"/>
      <c r="C14" s="13"/>
      <c r="D14" s="13"/>
      <c r="E14" s="13"/>
      <c r="F14" s="14"/>
      <c r="G14" s="13"/>
      <c r="H14" s="13"/>
    </row>
    <row r="15" spans="1:8" x14ac:dyDescent="0.25">
      <c r="A15" s="15" t="s">
        <v>43</v>
      </c>
      <c r="B15" s="13"/>
      <c r="C15" s="13"/>
      <c r="D15" s="13"/>
      <c r="E15" s="13"/>
      <c r="F15" s="14"/>
      <c r="G15" s="13"/>
      <c r="H15" s="13"/>
    </row>
    <row r="18" spans="2:6" x14ac:dyDescent="0.25">
      <c r="B18" s="16" t="s">
        <v>4</v>
      </c>
      <c r="C18" s="16" t="s">
        <v>5</v>
      </c>
      <c r="D18" s="16" t="s">
        <v>6</v>
      </c>
      <c r="E18" s="16" t="s">
        <v>7</v>
      </c>
      <c r="F18" s="16" t="s">
        <v>8</v>
      </c>
    </row>
    <row r="19" spans="2:6" x14ac:dyDescent="0.25">
      <c r="B19" s="17" t="s">
        <v>11</v>
      </c>
      <c r="C19" s="18">
        <v>1</v>
      </c>
      <c r="D19" s="18"/>
      <c r="E19" s="18"/>
      <c r="F19" s="20">
        <v>233</v>
      </c>
    </row>
    <row r="20" spans="2:6" x14ac:dyDescent="0.25">
      <c r="B20" s="17" t="s">
        <v>10</v>
      </c>
      <c r="C20" s="18"/>
      <c r="D20" s="18">
        <v>1</v>
      </c>
      <c r="E20" s="18"/>
      <c r="F20" s="20">
        <v>349</v>
      </c>
    </row>
    <row r="21" spans="2:6" x14ac:dyDescent="0.25">
      <c r="B21" s="17" t="s">
        <v>9</v>
      </c>
      <c r="C21" s="18"/>
      <c r="D21" s="18">
        <v>1</v>
      </c>
      <c r="E21" s="18"/>
      <c r="F21" s="20">
        <v>383</v>
      </c>
    </row>
    <row r="22" spans="2:6" x14ac:dyDescent="0.25">
      <c r="B22" s="17" t="s">
        <v>14</v>
      </c>
      <c r="C22" s="18"/>
      <c r="D22" s="18"/>
      <c r="E22" s="18">
        <v>1</v>
      </c>
      <c r="F22" s="20">
        <v>462</v>
      </c>
    </row>
    <row r="23" spans="2:6" x14ac:dyDescent="0.25">
      <c r="B23" s="17" t="s">
        <v>13</v>
      </c>
      <c r="C23" s="18"/>
      <c r="D23" s="18"/>
      <c r="E23" s="18">
        <v>1</v>
      </c>
      <c r="F23" s="20">
        <v>553</v>
      </c>
    </row>
    <row r="24" spans="2:6" x14ac:dyDescent="0.25">
      <c r="B24" s="17" t="s">
        <v>12</v>
      </c>
      <c r="C24" s="18"/>
      <c r="D24" s="18"/>
      <c r="E24" s="18"/>
      <c r="F24" s="20">
        <v>565</v>
      </c>
    </row>
    <row r="26" spans="2:6" x14ac:dyDescent="0.25">
      <c r="B26" s="16" t="s">
        <v>15</v>
      </c>
      <c r="C26" s="21">
        <v>500</v>
      </c>
      <c r="D26" s="21">
        <v>800</v>
      </c>
      <c r="E26" s="21">
        <v>1200</v>
      </c>
    </row>
    <row r="27" spans="2:6" x14ac:dyDescent="0.25">
      <c r="B27" s="16" t="s">
        <v>22</v>
      </c>
      <c r="C27" s="19">
        <v>10</v>
      </c>
      <c r="D27" s="19">
        <v>30</v>
      </c>
      <c r="E27" s="19">
        <v>50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30"/>
  <sheetViews>
    <sheetView zoomScale="115" zoomScaleNormal="115" workbookViewId="0">
      <selection activeCell="E42" sqref="E42"/>
    </sheetView>
  </sheetViews>
  <sheetFormatPr defaultColWidth="4.7109375" defaultRowHeight="15" x14ac:dyDescent="0.25"/>
  <cols>
    <col min="1" max="1" width="5.7109375" customWidth="1"/>
    <col min="2" max="2" width="17.28515625" bestFit="1" customWidth="1"/>
    <col min="3" max="3" width="16.7109375" bestFit="1" customWidth="1"/>
    <col min="4" max="4" width="17.7109375" customWidth="1"/>
    <col min="5" max="5" width="18.140625" bestFit="1" customWidth="1"/>
    <col min="6" max="6" width="13.85546875" bestFit="1" customWidth="1"/>
    <col min="7" max="7" width="8.5703125" bestFit="1" customWidth="1"/>
    <col min="8" max="8" width="18.42578125" bestFit="1" customWidth="1"/>
    <col min="9" max="9" width="5.85546875" customWidth="1"/>
    <col min="10" max="10" width="4.85546875" customWidth="1"/>
    <col min="11" max="11" width="6.140625" customWidth="1"/>
    <col min="12" max="12" width="4.42578125" customWidth="1"/>
  </cols>
  <sheetData>
    <row r="1" spans="1:8" ht="18.75" x14ac:dyDescent="0.3">
      <c r="A1" s="1" t="s">
        <v>3</v>
      </c>
      <c r="B1" s="2"/>
      <c r="C1" s="3"/>
      <c r="D1" s="3"/>
      <c r="E1" s="3"/>
      <c r="F1" s="4"/>
      <c r="G1" s="2"/>
      <c r="H1" s="3"/>
    </row>
    <row r="2" spans="1:8" x14ac:dyDescent="0.25">
      <c r="A2" s="5" t="s">
        <v>46</v>
      </c>
      <c r="B2" s="6"/>
      <c r="C2" s="6"/>
      <c r="D2" s="6"/>
      <c r="E2" s="6"/>
      <c r="F2" s="7"/>
      <c r="G2" s="6"/>
      <c r="H2" s="6"/>
    </row>
    <row r="3" spans="1:8" x14ac:dyDescent="0.25">
      <c r="A3" s="5" t="s">
        <v>47</v>
      </c>
      <c r="B3" s="6"/>
      <c r="C3" s="6"/>
      <c r="D3" s="6"/>
      <c r="E3" s="6"/>
      <c r="F3" s="7"/>
      <c r="G3" s="6"/>
      <c r="H3" s="6"/>
    </row>
    <row r="4" spans="1:8" x14ac:dyDescent="0.25">
      <c r="A4" s="8" t="s">
        <v>48</v>
      </c>
      <c r="B4" s="9"/>
      <c r="C4" s="9"/>
      <c r="D4" s="9"/>
      <c r="E4" s="9"/>
      <c r="F4" s="10"/>
      <c r="G4" s="9"/>
      <c r="H4" s="9"/>
    </row>
    <row r="5" spans="1:8" x14ac:dyDescent="0.25">
      <c r="F5" s="11"/>
    </row>
    <row r="6" spans="1:8" x14ac:dyDescent="0.25">
      <c r="A6" s="12" t="s">
        <v>49</v>
      </c>
      <c r="B6" s="13"/>
      <c r="C6" s="13"/>
      <c r="D6" s="13"/>
      <c r="E6" s="13"/>
      <c r="F6" s="14"/>
      <c r="G6" s="13"/>
      <c r="H6" s="13"/>
    </row>
    <row r="7" spans="1:8" x14ac:dyDescent="0.25">
      <c r="A7" s="15" t="s">
        <v>52</v>
      </c>
      <c r="B7" s="13"/>
      <c r="C7" s="13"/>
      <c r="D7" s="13"/>
      <c r="E7" s="13"/>
      <c r="F7" s="14"/>
      <c r="G7" s="13"/>
      <c r="H7" s="13"/>
    </row>
    <row r="8" spans="1:8" x14ac:dyDescent="0.25">
      <c r="A8" s="15" t="s">
        <v>53</v>
      </c>
      <c r="B8" s="13"/>
      <c r="C8" s="13"/>
      <c r="D8" s="13"/>
      <c r="E8" s="13"/>
      <c r="F8" s="14"/>
      <c r="G8" s="13"/>
      <c r="H8" s="13"/>
    </row>
    <row r="9" spans="1:8" x14ac:dyDescent="0.25">
      <c r="A9" s="15" t="s">
        <v>54</v>
      </c>
      <c r="B9" s="13"/>
      <c r="C9" s="13"/>
      <c r="D9" s="13"/>
      <c r="E9" s="13"/>
      <c r="F9" s="14"/>
      <c r="G9" s="13"/>
      <c r="H9" s="13"/>
    </row>
    <row r="10" spans="1:8" x14ac:dyDescent="0.25">
      <c r="A10" s="15" t="s">
        <v>55</v>
      </c>
      <c r="B10" s="13"/>
      <c r="C10" s="13"/>
      <c r="D10" s="13"/>
      <c r="E10" s="13"/>
      <c r="F10" s="14"/>
      <c r="G10" s="13"/>
      <c r="H10" s="13"/>
    </row>
    <row r="11" spans="1:8" x14ac:dyDescent="0.25">
      <c r="A11" s="12" t="s">
        <v>56</v>
      </c>
      <c r="B11" s="13"/>
      <c r="C11" s="13"/>
      <c r="D11" s="13"/>
      <c r="E11" s="13"/>
      <c r="F11" s="14"/>
      <c r="G11" s="13"/>
      <c r="H11" s="13"/>
    </row>
    <row r="12" spans="1:8" x14ac:dyDescent="0.25">
      <c r="A12" s="15" t="s">
        <v>57</v>
      </c>
      <c r="B12" s="13"/>
      <c r="C12" s="13"/>
      <c r="D12" s="13"/>
      <c r="E12" s="13"/>
      <c r="F12" s="14"/>
      <c r="G12" s="13"/>
      <c r="H12" s="13"/>
    </row>
    <row r="13" spans="1:8" x14ac:dyDescent="0.25">
      <c r="A13" s="12" t="s">
        <v>58</v>
      </c>
      <c r="B13" s="13"/>
      <c r="C13" s="13"/>
      <c r="D13" s="13"/>
      <c r="E13" s="13"/>
      <c r="F13" s="14"/>
      <c r="G13" s="13"/>
      <c r="H13" s="13"/>
    </row>
    <row r="14" spans="1:8" x14ac:dyDescent="0.25">
      <c r="A14" s="15" t="s">
        <v>59</v>
      </c>
      <c r="B14" s="13"/>
      <c r="C14" s="13"/>
      <c r="D14" s="13"/>
      <c r="E14" s="13"/>
      <c r="F14" s="14"/>
      <c r="G14" s="13"/>
      <c r="H14" s="13"/>
    </row>
    <row r="15" spans="1:8" x14ac:dyDescent="0.25">
      <c r="A15" s="15" t="s">
        <v>60</v>
      </c>
      <c r="B15" s="13"/>
      <c r="C15" s="13"/>
      <c r="D15" s="13"/>
      <c r="E15" s="13"/>
      <c r="F15" s="14"/>
      <c r="G15" s="13"/>
      <c r="H15" s="13"/>
    </row>
    <row r="18" spans="2:12" x14ac:dyDescent="0.25">
      <c r="B18" s="16" t="s">
        <v>4</v>
      </c>
      <c r="C18" s="16" t="s">
        <v>5</v>
      </c>
      <c r="D18" s="16" t="s">
        <v>6</v>
      </c>
      <c r="E18" s="16" t="s">
        <v>7</v>
      </c>
      <c r="F18" s="16" t="s">
        <v>8</v>
      </c>
    </row>
    <row r="19" spans="2:12" x14ac:dyDescent="0.25">
      <c r="B19" s="17" t="s">
        <v>11</v>
      </c>
      <c r="C19" s="18">
        <v>1</v>
      </c>
      <c r="D19" s="18"/>
      <c r="E19" s="18"/>
      <c r="F19" s="20">
        <v>233</v>
      </c>
      <c r="L19" s="23"/>
    </row>
    <row r="20" spans="2:12" x14ac:dyDescent="0.25">
      <c r="B20" s="17" t="s">
        <v>10</v>
      </c>
      <c r="C20" s="18">
        <v>1</v>
      </c>
      <c r="D20" s="18"/>
      <c r="E20" s="18"/>
      <c r="F20" s="20">
        <v>349</v>
      </c>
    </row>
    <row r="21" spans="2:12" x14ac:dyDescent="0.25">
      <c r="B21" s="17" t="s">
        <v>9</v>
      </c>
      <c r="C21" s="18"/>
      <c r="D21" s="18">
        <v>1</v>
      </c>
      <c r="E21" s="18"/>
      <c r="F21" s="20">
        <v>383</v>
      </c>
    </row>
    <row r="22" spans="2:12" x14ac:dyDescent="0.25">
      <c r="B22" s="17" t="s">
        <v>14</v>
      </c>
      <c r="C22" s="18"/>
      <c r="D22" s="18"/>
      <c r="E22" s="18">
        <v>1</v>
      </c>
      <c r="F22" s="20">
        <v>462</v>
      </c>
    </row>
    <row r="23" spans="2:12" x14ac:dyDescent="0.25">
      <c r="B23" s="17" t="s">
        <v>13</v>
      </c>
      <c r="C23" s="18"/>
      <c r="D23" s="18"/>
      <c r="E23" s="18">
        <v>1</v>
      </c>
      <c r="F23" s="20">
        <v>553</v>
      </c>
    </row>
    <row r="24" spans="2:12" x14ac:dyDescent="0.25">
      <c r="B24" s="17" t="s">
        <v>12</v>
      </c>
      <c r="C24" s="18"/>
      <c r="D24" s="18"/>
      <c r="E24" s="18"/>
      <c r="F24" s="20">
        <v>565</v>
      </c>
    </row>
    <row r="26" spans="2:12" x14ac:dyDescent="0.25">
      <c r="B26" s="16" t="s">
        <v>15</v>
      </c>
      <c r="C26" s="21">
        <v>600</v>
      </c>
      <c r="D26" s="21">
        <v>500</v>
      </c>
      <c r="E26" s="21">
        <v>1200</v>
      </c>
    </row>
    <row r="27" spans="2:12" x14ac:dyDescent="0.25">
      <c r="B27" s="16" t="s">
        <v>22</v>
      </c>
      <c r="C27" s="19">
        <v>10</v>
      </c>
      <c r="D27" s="19">
        <v>30</v>
      </c>
      <c r="E27" s="19">
        <v>50</v>
      </c>
    </row>
    <row r="28" spans="2:12" x14ac:dyDescent="0.25">
      <c r="B28" s="16" t="s">
        <v>45</v>
      </c>
      <c r="C28" s="19">
        <v>2.5</v>
      </c>
      <c r="D28" s="19">
        <v>1.75</v>
      </c>
      <c r="E28" s="19">
        <v>2.25</v>
      </c>
    </row>
    <row r="30" spans="2:12" x14ac:dyDescent="0.25">
      <c r="B30" s="16" t="s">
        <v>44</v>
      </c>
      <c r="C30" s="22" cm="1">
        <f t="array" ref="C30">TruckTotalCost(1)</f>
        <v>1475</v>
      </c>
      <c r="D30" s="22" cm="1">
        <f t="array" ref="D30">TruckTotalCost(2)</f>
        <v>700.25</v>
      </c>
      <c r="E30" s="22" cm="1">
        <f t="array" ref="E30">TruckTotalCost(3)</f>
        <v>2383.75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Documentation</vt:lpstr>
      <vt:lpstr>P9</vt:lpstr>
      <vt:lpstr>P10</vt:lpstr>
      <vt:lpstr>P11</vt:lpstr>
      <vt:lpstr>P12</vt:lpstr>
      <vt:lpstr>AllCapacity</vt:lpstr>
      <vt:lpstr>AllDriver</vt:lpstr>
      <vt:lpstr>AllTotal</vt:lpstr>
      <vt:lpstr>AllTrucks</vt:lpstr>
      <vt:lpstr>AllUnitCost</vt:lpstr>
      <vt:lpstr>DC</vt:lpstr>
      <vt:lpstr>DCost</vt:lpstr>
      <vt:lpstr>DriverCost</vt:lpstr>
      <vt:lpstr>TC</vt:lpstr>
      <vt:lpstr>Truck1Sum</vt:lpstr>
      <vt:lpstr>Truck1Vals</vt:lpstr>
      <vt:lpstr>Truck2Sum</vt:lpstr>
      <vt:lpstr>Truck2Vals</vt:lpstr>
      <vt:lpstr>Truck3Vals</vt:lpstr>
      <vt:lpstr>TruckCapacity</vt:lpstr>
      <vt:lpstr>TruckCost</vt:lpstr>
      <vt:lpstr>TruckT</vt:lpstr>
      <vt:lpstr>TruckTable</vt:lpstr>
      <vt:lpstr>TT</vt:lpstr>
      <vt:lpstr>X</vt:lpstr>
      <vt:lpstr>Y</vt:lpstr>
      <vt:lpstr>Z</vt:lpstr>
    </vt:vector>
  </TitlesOfParts>
  <Company>Pamplin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Seref</dc:creator>
  <cp:lastModifiedBy>Zain Qadri</cp:lastModifiedBy>
  <dcterms:created xsi:type="dcterms:W3CDTF">2019-07-23T16:40:44Z</dcterms:created>
  <dcterms:modified xsi:type="dcterms:W3CDTF">2023-03-13T15:51:38Z</dcterms:modified>
</cp:coreProperties>
</file>