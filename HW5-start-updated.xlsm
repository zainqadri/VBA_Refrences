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zainq\Documents\BIT 3424\"/>
    </mc:Choice>
  </mc:AlternateContent>
  <xr:revisionPtr revIDLastSave="0" documentId="13_ncr:1_{D43B3E91-EE73-42DE-B48F-E9E2BDACE935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Documentation" sheetId="5" r:id="rId1"/>
    <sheet name="Welcome" sheetId="1" r:id="rId2"/>
    <sheet name="Hidden" sheetId="2" state="hidden" r:id="rId3"/>
    <sheet name="Reservations" sheetId="3" state="hidden" r:id="rId4"/>
    <sheet name="Workshifts" sheetId="4" state="hidden" r:id="rId5"/>
  </sheets>
  <externalReferences>
    <externalReference r:id="rId6"/>
  </externalReferences>
  <definedNames>
    <definedName name="AllWaitAvail">Workshifts!$P$7:$U$34</definedName>
    <definedName name="AvailCheck">Workshifts!$N$37:$O$38</definedName>
    <definedName name="AvailTable">Workshifts!$M$6:$U$34</definedName>
    <definedName name="AvailWS">Workshifts!$M$38</definedName>
    <definedName name="Brunch">Hidden!$J$2:$J$7</definedName>
    <definedName name="CustStart">Reservations!$B$10</definedName>
    <definedName name="Day">Hidden!$G$2:$G$4</definedName>
    <definedName name="DayCol">Reservations!$E$11:$E$105</definedName>
    <definedName name="Dinner">Hidden!$I$2:$I$9</definedName>
    <definedName name="EndHere">Reservations!$F$11</definedName>
    <definedName name="ExternalData_1" localSheetId="3">Reservations!$N$11:$S$39</definedName>
    <definedName name="ExternalData_10" localSheetId="3">Reservations!$B$11:$F$104</definedName>
    <definedName name="ExternalData_11" localSheetId="3">Reservations!$B$11:$F$104</definedName>
    <definedName name="ExternalData_12" localSheetId="3">Reservations!$B$11:$F$104</definedName>
    <definedName name="ExternalData_13" localSheetId="3">Reservations!$B$11:$F$104</definedName>
    <definedName name="ExternalData_14" localSheetId="3">Reservations!$B$11:$F$104</definedName>
    <definedName name="ExternalData_15" localSheetId="3">Reservations!$B$11:$F$104</definedName>
    <definedName name="ExternalData_16" localSheetId="3">Reservations!$B$11:$F$104</definedName>
    <definedName name="ExternalData_17" localSheetId="3">Reservations!$B$11:$F$104</definedName>
    <definedName name="ExternalData_18" localSheetId="3">Reservations!$B$11:$F$104</definedName>
    <definedName name="ExternalData_19" localSheetId="3">Reservations!$B$11:$F$104</definedName>
    <definedName name="ExternalData_2" localSheetId="3">Reservations!$N$11:$S$39</definedName>
    <definedName name="ExternalData_20" localSheetId="3">Reservations!$B$11:$F$104</definedName>
    <definedName name="ExternalData_21" localSheetId="3">Reservations!$B$11:$F$104</definedName>
    <definedName name="ExternalData_22" localSheetId="3">Reservations!$B$11:$F$104</definedName>
    <definedName name="ExternalData_23" localSheetId="3">Reservations!$B$11:$F$104</definedName>
    <definedName name="ExternalData_24" localSheetId="3">Reservations!$B$11:$F$104</definedName>
    <definedName name="ExternalData_25" localSheetId="3">Reservations!$B$11:$F$104</definedName>
    <definedName name="ExternalData_26" localSheetId="3">Reservations!$B$11:$F$104</definedName>
    <definedName name="ExternalData_27" localSheetId="3">Reservations!$B$11:$F$104</definedName>
    <definedName name="ExternalData_28" localSheetId="3">Reservations!$B$11:$F$104</definedName>
    <definedName name="ExternalData_29" localSheetId="3">Reservations!$B$11:$F$104</definedName>
    <definedName name="ExternalData_3" localSheetId="3">Reservations!$B$11:$F$104</definedName>
    <definedName name="ExternalData_32" localSheetId="3">Reservations!$B$11:$G$39</definedName>
    <definedName name="ExternalData_33" localSheetId="3">Reservations!$B$11:$G$39</definedName>
    <definedName name="ExternalData_34" localSheetId="3">Reservations!$B$11:$F$104</definedName>
    <definedName name="ExternalData_35" localSheetId="3">Reservations!$B$11:$F$105</definedName>
    <definedName name="ExternalData_36" localSheetId="3">Reservations!$B$11:$F$104</definedName>
    <definedName name="ExternalData_38" localSheetId="3">Reservations!$B$11:$G$104</definedName>
    <definedName name="ExternalData_39" localSheetId="3">Reservations!$B$11:$F$104</definedName>
    <definedName name="ExternalData_4" localSheetId="3">Reservations!$B$11:$F$104</definedName>
    <definedName name="ExternalData_40" localSheetId="3">Reservations!$B$11:$F$104</definedName>
    <definedName name="ExternalData_41" localSheetId="3">Reservations!$B$11:$F$104</definedName>
    <definedName name="ExternalData_42" localSheetId="3">Reservations!$B$11:$F$104</definedName>
    <definedName name="ExternalData_43" localSheetId="3">Reservations!$B$11:$F$104</definedName>
    <definedName name="ExternalData_44" localSheetId="3">Reservations!$B$11:$F$104</definedName>
    <definedName name="ExternalData_45" localSheetId="3">Reservations!$B$11:$F$104</definedName>
    <definedName name="ExternalData_46" localSheetId="3">Reservations!$B$11:$F$104</definedName>
    <definedName name="ExternalData_47" localSheetId="3">Reservations!$B$11:$F$104</definedName>
    <definedName name="ExternalData_48" localSheetId="3">Reservations!$B$11:$F$104</definedName>
    <definedName name="ExternalData_49" localSheetId="3">Reservations!$B$11:$F$104</definedName>
    <definedName name="ExternalData_5" localSheetId="3">Reservations!$B$11:$F$104</definedName>
    <definedName name="ExternalData_50" localSheetId="3">Reservations!$B$11:$F$104</definedName>
    <definedName name="ExternalData_51" localSheetId="3">Reservations!$B$11:$F$104</definedName>
    <definedName name="ExternalData_52" localSheetId="3">Reservations!$B$11:$F$104</definedName>
    <definedName name="ExternalData_53" localSheetId="3">Reservations!$B$11:$F$104</definedName>
    <definedName name="ExternalData_54" localSheetId="3">Reservations!$B$11:$F$104</definedName>
    <definedName name="ExternalData_6" localSheetId="3">Reservations!$B$11:$F$104</definedName>
    <definedName name="ExternalData_7" localSheetId="3">Reservations!$B$11:$F$104</definedName>
    <definedName name="ExternalData_8" localSheetId="3">Reservations!$B$11:$F$104</definedName>
    <definedName name="ExternalData_9" localSheetId="3">Reservations!$B$11:$F$104</definedName>
    <definedName name="FriDinner">Reservations!$I$11:$L$18</definedName>
    <definedName name="HistData">Reservations!$N$10:$S$38</definedName>
    <definedName name="HistReservations" localSheetId="3">Reservations!$N$11:$S$39</definedName>
    <definedName name="ImportHere">Reservations!$B$11</definedName>
    <definedName name="InvReport">[1]P9!#REF!</definedName>
    <definedName name="InvTable">[1]P9!#REF!</definedName>
    <definedName name="LogInInfo">Hidden!$A$1:$D$9</definedName>
    <definedName name="Manager_ID">Workshifts!$N$7</definedName>
    <definedName name="Max_Shifts">Workshifts!$P$35:$U$35</definedName>
    <definedName name="Meal">Hidden!$H$2:$H$3</definedName>
    <definedName name="New_Max_Shift">Workshifts!$N$11</definedName>
    <definedName name="NewCheck">Reservations!$L$7</definedName>
    <definedName name="NewRez">Reservations!$B$7:$F$7</definedName>
    <definedName name="NewTime">Reservations!$F$7</definedName>
    <definedName name="NumParty">Reservations!$D$11:$D$105</definedName>
    <definedName name="Pay_Shift">Workshifts!$N$6</definedName>
    <definedName name="ProdReport">[1]P9!#REF!</definedName>
    <definedName name="ProdTable">[1]P9!#REF!</definedName>
    <definedName name="ResCheck">Reservations!$J$40:$K$41</definedName>
    <definedName name="ResInfo">Reservations!$I$40:$L$41</definedName>
    <definedName name="SatBrunch">Reservations!$I$19:$L$24</definedName>
    <definedName name="SatDinner">Reservations!$I$25:$L$32</definedName>
    <definedName name="Shift">Hidden!$H$2:$H$3</definedName>
    <definedName name="solver_adj" localSheetId="4" hidden="1">Workshifts!$C$7:$H$34</definedName>
    <definedName name="solver_cvg" localSheetId="4" hidden="1">0.0001</definedName>
    <definedName name="solver_drv" localSheetId="4" hidden="1">1</definedName>
    <definedName name="solver_eng" localSheetId="4" hidden="1">2</definedName>
    <definedName name="solver_est" localSheetId="4" hidden="1">1</definedName>
    <definedName name="solver_itr" localSheetId="4" hidden="1">2147483647</definedName>
    <definedName name="solver_lhs1" localSheetId="4" hidden="1">Workshifts!$I$7:$I$34</definedName>
    <definedName name="solver_lhs2" localSheetId="4" hidden="1">Workshifts!$C$35:$H$35</definedName>
    <definedName name="solver_lhs3" localSheetId="4" hidden="1">Workshifts!$C$7:$H$34</definedName>
    <definedName name="solver_lhs4" localSheetId="4" hidden="1">Workshifts!$C$7:$H$34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od" localSheetId="4" hidden="1">2147483647</definedName>
    <definedName name="solver_num" localSheetId="4" hidden="1">3</definedName>
    <definedName name="solver_nwt" localSheetId="4" hidden="1">1</definedName>
    <definedName name="solver_opt" localSheetId="4" hidden="1">Workshifts!$J$35</definedName>
    <definedName name="solver_pre" localSheetId="4" hidden="1">0.000001</definedName>
    <definedName name="solver_rbv" localSheetId="4" hidden="1">1</definedName>
    <definedName name="solver_rel1" localSheetId="4" hidden="1">3</definedName>
    <definedName name="solver_rel2" localSheetId="4" hidden="1">1</definedName>
    <definedName name="solver_rel3" localSheetId="4" hidden="1">5</definedName>
    <definedName name="solver_rel4" localSheetId="4" hidden="1">5</definedName>
    <definedName name="solver_rhs1" localSheetId="4" hidden="1">Total_Needed</definedName>
    <definedName name="solver_rhs2" localSheetId="4" hidden="1">Max_Shifts</definedName>
    <definedName name="solver_rhs3" localSheetId="4" hidden="1">"binary"</definedName>
    <definedName name="solver_rhs4" localSheetId="4" hidden="1">binary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2</definedName>
    <definedName name="solver_val" localSheetId="4" hidden="1">0</definedName>
    <definedName name="solver_ver" localSheetId="4" hidden="1">3</definedName>
    <definedName name="SunBrunch">Reservations!$I$33:$L$38</definedName>
    <definedName name="TimeCol">Reservations!$F$11:$F$105</definedName>
    <definedName name="Total_Customers">Reservations!$L$11:$L$38</definedName>
    <definedName name="Total_Needed">Workshifts!$J$7:$J$34</definedName>
    <definedName name="Total_Waiters">Workshifts!$J$35</definedName>
    <definedName name="Total_Workshifts">Workshifts!$C$35:$H$35</definedName>
    <definedName name="TotalDemand">Reservations!$I$10:$L$38</definedName>
    <definedName name="TotalWaitShift">Workshifts!$I$7:$I$34</definedName>
    <definedName name="WaitDV">Workshifts!$C$7:$H$34</definedName>
    <definedName name="Waiter">Workshifts!$N$10</definedName>
    <definedName name="WaitStaff">Hidden!$C$4:$C$9</definedName>
    <definedName name="Weekend_Date">Workshifts!#REF!</definedName>
    <definedName name="WorkshiftAll">Workshifts!$M$6:$O$34</definedName>
  </definedNames>
  <calcPr calcId="191029"/>
  <pivotCaches>
    <pivotCache cacheId="2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7" i="3" l="1"/>
  <c r="L12" i="3" l="1"/>
  <c r="J8" i="4" s="1"/>
  <c r="L13" i="3"/>
  <c r="J9" i="4" s="1"/>
  <c r="L14" i="3"/>
  <c r="J10" i="4" s="1"/>
  <c r="L15" i="3"/>
  <c r="J11" i="4" s="1"/>
  <c r="L16" i="3"/>
  <c r="J12" i="4" s="1"/>
  <c r="L17" i="3"/>
  <c r="J13" i="4" s="1"/>
  <c r="L18" i="3"/>
  <c r="J14" i="4" s="1"/>
  <c r="L19" i="3"/>
  <c r="J15" i="4" s="1"/>
  <c r="L20" i="3"/>
  <c r="J16" i="4" s="1"/>
  <c r="L21" i="3"/>
  <c r="J17" i="4" s="1"/>
  <c r="L22" i="3"/>
  <c r="J18" i="4" s="1"/>
  <c r="L23" i="3"/>
  <c r="J19" i="4" s="1"/>
  <c r="L24" i="3"/>
  <c r="J20" i="4" s="1"/>
  <c r="L25" i="3"/>
  <c r="J21" i="4" s="1"/>
  <c r="L26" i="3"/>
  <c r="J22" i="4" s="1"/>
  <c r="L27" i="3"/>
  <c r="J23" i="4" s="1"/>
  <c r="L28" i="3"/>
  <c r="J24" i="4" s="1"/>
  <c r="L29" i="3"/>
  <c r="J25" i="4" s="1"/>
  <c r="L30" i="3"/>
  <c r="J26" i="4" s="1"/>
  <c r="L31" i="3"/>
  <c r="J27" i="4" s="1"/>
  <c r="L32" i="3"/>
  <c r="J28" i="4" s="1"/>
  <c r="L33" i="3"/>
  <c r="J29" i="4" s="1"/>
  <c r="L34" i="3"/>
  <c r="J30" i="4" s="1"/>
  <c r="L35" i="3"/>
  <c r="J31" i="4" s="1"/>
  <c r="L36" i="3"/>
  <c r="J32" i="4" s="1"/>
  <c r="L37" i="3"/>
  <c r="J33" i="4" s="1"/>
  <c r="L38" i="3"/>
  <c r="J34" i="4" s="1"/>
  <c r="L11" i="3"/>
  <c r="J7" i="4" l="1"/>
  <c r="I25" i="4"/>
  <c r="I9" i="4"/>
  <c r="I7" i="4"/>
  <c r="M38" i="4" l="1"/>
  <c r="Q35" i="4"/>
  <c r="R35" i="4"/>
  <c r="S35" i="4"/>
  <c r="T35" i="4"/>
  <c r="U35" i="4"/>
  <c r="P35" i="4"/>
  <c r="J35" i="4"/>
  <c r="I8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6" i="4"/>
  <c r="I27" i="4"/>
  <c r="I28" i="4"/>
  <c r="I29" i="4"/>
  <c r="I30" i="4"/>
  <c r="I31" i="4"/>
  <c r="I32" i="4"/>
  <c r="I33" i="4"/>
  <c r="I34" i="4"/>
  <c r="D35" i="4"/>
  <c r="E35" i="4"/>
  <c r="F35" i="4"/>
  <c r="G35" i="4"/>
  <c r="H35" i="4"/>
  <c r="C35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HistReservations" type="6" refreshedVersion="5" background="1" saveData="1">
    <textPr codePage="437" firstRow="2" sourceFile="G:\My Drive\2-BIT-Teaching\BIT3424\Summer19\HistReservations.txt" tab="0" comma="1" semicolon="1" delimiter="/">
      <textFields count="8">
        <textField type="skip"/>
        <textField type="skip"/>
        <textField/>
        <textField/>
        <textField/>
        <textField/>
        <textField/>
        <textField/>
      </textFields>
    </textPr>
  </connection>
  <connection id="2" xr16:uid="{00000000-0015-0000-FFFF-FFFF01000000}" name="HistReservations1" type="6" refreshedVersion="5" background="1" saveData="1">
    <textPr prompt="0" firstRow="2" sourceFile="G:\My Drive\2-BIT-Teaching\BIT3424\Summer19\HistReservations.txt" tab="0" comma="1" semicolon="1" delimiter="/">
      <textFields count="8">
        <textField type="skip"/>
        <textField type="skip"/>
        <textField/>
        <textField/>
        <textField/>
        <textField/>
        <textField/>
        <textField/>
      </textFields>
    </textPr>
  </connection>
  <connection id="3" xr16:uid="{00000000-0015-0000-FFFF-FFFF02000000}" name="HistReservations2" type="6" refreshedVersion="5" background="1" saveData="1">
    <textPr prompt="0" firstRow="2" sourceFile="G:\My Drive\2-BIT-Teaching\BIT3424\Summer19\HistReservations.txt" tab="0" comma="1" semicolon="1" delimiter="/">
      <textFields count="8">
        <textField type="skip"/>
        <textField type="skip"/>
        <textField/>
        <textField/>
        <textField/>
        <textField/>
        <textField/>
        <textField/>
      </textFields>
    </textPr>
  </connection>
  <connection id="4" xr16:uid="{C471F371-31DB-411E-90C2-7CD4FC181E91}" name="HistReservations3" type="6" refreshedVersion="8" background="1" saveData="1">
    <textPr prompt="0" firstRow="2" sourceFile="C:\Users\zainq\Downloads\HistReservations.txt" tab="0" comma="1" semicolon="1" delimiter="/">
      <textFields count="8">
        <textField type="skip"/>
        <textField type="skip"/>
        <textField/>
        <textField/>
        <textField/>
        <textField/>
        <textField/>
        <textField/>
      </textFields>
    </textPr>
  </connection>
  <connection id="5" xr16:uid="{FDC7EA35-D1D0-41CA-ABC8-A5463D97926B}" name="HistReservations4" type="6" refreshedVersion="8" background="1" saveData="1">
    <textPr prompt="0" firstRow="2" sourceFile="C:\Users\zainq\Downloads\HistReservations.txt" tab="0" comma="1" semicolon="1" delimiter="/">
      <textFields count="8">
        <textField type="skip"/>
        <textField type="skip"/>
        <textField/>
        <textField/>
        <textField/>
        <textField/>
        <textField/>
        <textField/>
      </textFields>
    </textPr>
  </connection>
  <connection id="6" xr16:uid="{9C50B5C7-CF35-43E0-9433-BBDA38A9B657}" name="HW5-NewReservations_updated" type="6" refreshedVersion="6" background="1" saveData="1">
    <textPr prompt="0" firstRow="2" sourceFile="G:\My Drive\2-BIT-Teaching\BIT3424\Fall2020\HW5-NewReservations_updated.txt" tab="0" comma="1" semicolon="1" delimiter="\">
      <textFields count="7">
        <textField type="skip"/>
        <textField/>
        <textField/>
        <textField/>
        <textField/>
        <textField/>
        <textField type="skip"/>
      </textFields>
    </textPr>
  </connection>
  <connection id="7" xr16:uid="{8DCA7260-D9DA-48A5-BF14-822F8E1AAADE}" name="HW5-NewReservations_updated_2" type="6" refreshedVersion="6" background="1" saveData="1">
    <textPr prompt="0" firstRow="2" sourceFile="G:\My Drive\2-BIT-Teaching\BIT3424\Fall2020\HW5-NewReservations_updated_2.txt" tab="0" comma="1" semicolon="1" delimiter="\">
      <textFields count="7">
        <textField type="skip"/>
        <textField/>
        <textField/>
        <textField/>
        <textField/>
        <textField/>
        <textField type="skip"/>
      </textFields>
    </textPr>
  </connection>
  <connection id="8" xr16:uid="{2192C798-5765-4E25-ADC9-7B4BAF99CD40}" name="HW5-NewReservations_updated_21" type="6" refreshedVersion="6" background="1" saveData="1">
    <textPr prompt="0" firstRow="2" sourceFile="G:\My Drive\2-BIT-Teaching\BIT3424\Fall2020\HW5-NewReservations_updated_2.txt" tab="0" comma="1" semicolon="1" delimiter="\">
      <textFields count="7">
        <textField type="skip"/>
        <textField/>
        <textField/>
        <textField/>
        <textField/>
        <textField/>
        <textField type="skip"/>
      </textFields>
    </textPr>
  </connection>
  <connection id="9" xr16:uid="{78A18F3F-6F7C-4B2E-A1CF-DAF0EC6A4DBF}" name="HW5-NewReservations_updated_22" type="6" refreshedVersion="6" background="1" saveData="1">
    <textPr prompt="0" firstRow="2" sourceFile="G:\My Drive\2-BIT-Teaching\BIT3424\Fall2020\HW5-NewReservations_updated_2.txt" tab="0" comma="1" semicolon="1" delimiter="\">
      <textFields count="7">
        <textField type="skip"/>
        <textField/>
        <textField/>
        <textField/>
        <textField/>
        <textField/>
        <textField type="skip"/>
      </textFields>
    </textPr>
  </connection>
  <connection id="10" xr16:uid="{17DDF58A-211D-4414-8356-56379AE3F31A}" name="HW5-NewReservations_updated_23" type="6" refreshedVersion="8" background="1" saveData="1">
    <textPr prompt="0" firstRow="2" sourceFile="C:\Users\zainq\Downloads\HW5-NewReservations_updated_2.txt" tab="0" comma="1" semicolon="1" delimiter="\">
      <textFields count="8">
        <textField type="skip"/>
        <textField/>
        <textField/>
        <textField/>
        <textField/>
        <textField/>
        <textField type="skip"/>
        <textField type="skip"/>
      </textFields>
    </textPr>
  </connection>
  <connection id="11" xr16:uid="{8E85224B-C116-4B56-9AE5-CC5213BAFEE9}" name="HW5-NewReservations_updated_24" type="6" refreshedVersion="8" background="1" saveData="1">
    <textPr prompt="0" firstRow="2" sourceFile="C:\Users\zainq\Downloads\HW5-NewReservations_updated_2.txt" tab="0" comma="1" semicolon="1" delimiter="\">
      <textFields count="8">
        <textField type="skip"/>
        <textField/>
        <textField/>
        <textField/>
        <textField/>
        <textField/>
        <textField type="skip"/>
        <textField type="skip"/>
      </textFields>
    </textPr>
  </connection>
  <connection id="12" xr16:uid="{A5C8529B-95F8-4B32-B495-8C7B254D9E30}" name="HW5-NewReservations_updated1" type="6" refreshedVersion="6" background="1" saveData="1">
    <textPr prompt="0" firstRow="2" sourceFile="G:\My Drive\2-BIT-Teaching\BIT3424\Fall2020\HW5-NewReservations_updated.txt" tab="0" comma="1" semicolon="1" delimiter="\">
      <textFields count="7">
        <textField type="skip"/>
        <textField/>
        <textField/>
        <textField/>
        <textField/>
        <textField/>
        <textField type="skip"/>
      </textFields>
    </textPr>
  </connection>
  <connection id="13" xr16:uid="{8B3231DC-1AD7-4419-9D0E-CB7E8645B93B}" name="HW5-NewReservations-updated (1)" type="6" refreshedVersion="8" background="1" saveData="1">
    <textPr prompt="0" firstRow="2" sourceFile="C:\Users\zainq\Downloads\HW5-NewReservations-updated (1).txt" tab="0" comma="1" semicolon="1" delimiter="\">
      <textFields count="8">
        <textField type="skip"/>
        <textField type="skip"/>
        <textField/>
        <textField/>
        <textField/>
        <textField/>
        <textField/>
        <textField/>
      </textFields>
    </textPr>
  </connection>
  <connection id="14" xr16:uid="{FD6F4675-D372-49AA-81A5-1922BD50BEBB}" name="HW5-NewReservations-updated (1)1" type="6" refreshedVersion="8" background="1" saveData="1">
    <textPr prompt="0" sourceFile="C:\Users\zainq\Downloads\HW5-NewReservations-updated (1).txt" tab="0" comma="1" semicolon="1" delimiter="\">
      <textFields count="8">
        <textField type="skip"/>
        <textField type="skip"/>
        <textField/>
        <textField/>
        <textField/>
        <textField/>
        <textField/>
        <textField/>
      </textFields>
    </textPr>
  </connection>
  <connection id="15" xr16:uid="{4763926B-C2C4-406F-B5E4-D75AA7D64F20}" name="HW5-NewReservations-updated (1)10" type="6" refreshedVersion="8" background="1" saveData="1">
    <textPr prompt="0" firstRow="2" sourceFile="C:\Users\zainq\Downloads\HW5-NewReservations-updated (1).txt" tab="0" comma="1" semicolon="1" delimiter="\">
      <textFields count="8">
        <textField type="skip"/>
        <textField/>
        <textField/>
        <textField/>
        <textField/>
        <textField/>
        <textField type="skip"/>
        <textField type="skip"/>
      </textFields>
    </textPr>
  </connection>
  <connection id="16" xr16:uid="{C35E823E-AEF9-4E29-9D55-271CE8ED9225}" name="HW5-NewReservations-updated (1)11" type="6" refreshedVersion="8" background="1" saveData="1">
    <textPr prompt="0" firstRow="2" sourceFile="C:\Users\zainq\Downloads\HW5-NewReservations-updated (1).txt" tab="0" comma="1" semicolon="1" delimiter="\">
      <textFields count="8">
        <textField type="skip"/>
        <textField/>
        <textField/>
        <textField/>
        <textField/>
        <textField/>
        <textField type="skip"/>
        <textField type="skip"/>
      </textFields>
    </textPr>
  </connection>
  <connection id="17" xr16:uid="{B5B68A60-C80B-4A16-8D3F-C1C6C8A63D68}" name="HW5-NewReservations-updated (1)12" type="6" refreshedVersion="8" background="1" saveData="1">
    <textPr prompt="0" firstRow="2" sourceFile="C:\Users\zainq\Downloads\HW5-NewReservations-updated (1).txt" tab="0" comma="1" semicolon="1" delimiter="\">
      <textFields count="8">
        <textField type="skip"/>
        <textField/>
        <textField/>
        <textField/>
        <textField/>
        <textField/>
        <textField type="skip"/>
        <textField type="skip"/>
      </textFields>
    </textPr>
  </connection>
  <connection id="18" xr16:uid="{F9B500B7-7CBB-4E17-9686-B5BB8AD6A0A4}" name="HW5-NewReservations-updated (1)13" type="6" refreshedVersion="8" background="1" saveData="1">
    <textPr prompt="0" firstRow="2" sourceFile="C:\Users\zainq\Downloads\HW5-NewReservations-updated (1).txt" tab="0" comma="1" semicolon="1" delimiter="\">
      <textFields count="8">
        <textField type="skip"/>
        <textField/>
        <textField/>
        <textField/>
        <textField/>
        <textField/>
        <textField type="skip"/>
        <textField type="skip"/>
      </textFields>
    </textPr>
  </connection>
  <connection id="19" xr16:uid="{A95356C3-F2FB-444F-8236-47B8231D5C66}" name="HW5-NewReservations-updated (1)14" type="6" refreshedVersion="8" background="1" saveData="1">
    <textPr prompt="0" firstRow="2" sourceFile="C:\Users\zainq\Downloads\HW5-NewReservations-updated (1).txt" tab="0" comma="1" semicolon="1" delimiter="\">
      <textFields count="8">
        <textField type="skip"/>
        <textField/>
        <textField/>
        <textField/>
        <textField/>
        <textField/>
        <textField type="skip"/>
        <textField type="skip"/>
      </textFields>
    </textPr>
  </connection>
  <connection id="20" xr16:uid="{5E0BDB9B-DEC1-496E-AD44-70CB9103BE96}" name="HW5-NewReservations-updated (1)15" type="6" refreshedVersion="8" background="1" saveData="1">
    <textPr prompt="0" firstRow="2" sourceFile="C:\Users\zainq\Downloads\HW5-NewReservations-updated (1).txt" tab="0" comma="1" semicolon="1" delimiter="\">
      <textFields count="8">
        <textField type="skip"/>
        <textField/>
        <textField/>
        <textField/>
        <textField/>
        <textField/>
        <textField type="skip"/>
        <textField type="skip"/>
      </textFields>
    </textPr>
  </connection>
  <connection id="21" xr16:uid="{D5550C3D-BF01-492E-AE1B-523F091B37C1}" name="HW5-NewReservations-updated (1)16" type="6" refreshedVersion="8" background="1" saveData="1">
    <textPr prompt="0" firstRow="2" sourceFile="C:\Users\zainq\Downloads\HW5-NewReservations-updated (1).txt" tab="0" comma="1" semicolon="1" delimiter="\">
      <textFields count="8">
        <textField type="skip"/>
        <textField/>
        <textField/>
        <textField/>
        <textField/>
        <textField/>
        <textField type="skip"/>
        <textField type="skip"/>
      </textFields>
    </textPr>
  </connection>
  <connection id="22" xr16:uid="{3D01669D-9987-405D-B036-C725F1FA67AB}" name="HW5-NewReservations-updated (1)17" type="6" refreshedVersion="8" background="1" saveData="1">
    <textPr prompt="0" firstRow="2" sourceFile="C:\Users\zainq\Downloads\HW5-NewReservations-updated (1).txt" tab="0" comma="1" semicolon="1" delimiter="\">
      <textFields count="8">
        <textField type="skip"/>
        <textField/>
        <textField/>
        <textField/>
        <textField/>
        <textField/>
        <textField type="skip"/>
        <textField type="skip"/>
      </textFields>
    </textPr>
  </connection>
  <connection id="23" xr16:uid="{5C4010A7-12CC-4026-9DB2-DC9FCAE30EC5}" name="HW5-NewReservations-updated (1)2" type="6" refreshedVersion="8" background="1" saveData="1">
    <textPr prompt="0" firstRow="2" sourceFile="C:\Users\zainq\Downloads\HW5-NewReservations-updated (1).txt" tab="0" comma="1" semicolon="1" delimiter="\">
      <textFields count="8">
        <textField type="skip"/>
        <textField type="skip"/>
        <textField/>
        <textField/>
        <textField/>
        <textField/>
        <textField/>
        <textField/>
      </textFields>
    </textPr>
  </connection>
  <connection id="24" xr16:uid="{4AE21DBB-5F7B-4982-9E2D-390E5AB4997A}" name="HW5-NewReservations-updated (1)3" type="6" refreshedVersion="8" background="1" saveData="1">
    <textPr prompt="0" firstRow="2" sourceFile="C:\Users\zainq\Downloads\HW5-NewReservations-updated (1).txt" tab="0" comma="1" semicolon="1" delimiter="\">
      <textFields count="8">
        <textField type="skip"/>
        <textField/>
        <textField/>
        <textField/>
        <textField/>
        <textField/>
        <textField type="skip"/>
        <textField type="skip"/>
      </textFields>
    </textPr>
  </connection>
  <connection id="25" xr16:uid="{90DB2C7E-77E1-4E93-A41E-7D6F5E21ECB2}" name="HW5-NewReservations-updated (1)4" type="6" refreshedVersion="8" background="1" saveData="1">
    <textPr prompt="0" firstRow="2" sourceFile="C:\Users\zainq\Downloads\HW5-NewReservations-updated (1).txt" tab="0" comma="1" semicolon="1" delimiter="\">
      <textFields count="8">
        <textField type="skip"/>
        <textField/>
        <textField/>
        <textField/>
        <textField/>
        <textField/>
        <textField/>
        <textField type="skip"/>
      </textFields>
    </textPr>
  </connection>
  <connection id="26" xr16:uid="{298BA8E7-42C5-4DFF-87B5-87A498772D5F}" name="HW5-NewReservations-updated (1)5" type="6" refreshedVersion="8" background="1" saveData="1">
    <textPr prompt="0" firstRow="2" sourceFile="C:\Users\zainq\Downloads\HW5-NewReservations-updated (1).txt" tab="0" comma="1" semicolon="1" delimiter="\">
      <textFields count="8">
        <textField type="skip"/>
        <textField/>
        <textField/>
        <textField/>
        <textField/>
        <textField/>
        <textField type="skip"/>
        <textField type="skip"/>
      </textFields>
    </textPr>
  </connection>
  <connection id="27" xr16:uid="{1E3BC8F2-EA85-4101-A918-09CE6FC2F8FB}" name="HW5-NewReservations-updated (1)6" type="6" refreshedVersion="8" background="1" saveData="1">
    <textPr prompt="0" firstRow="2" sourceFile="C:\Users\zainq\Downloads\HW5-NewReservations-updated (1).txt" tab="0" comma="1" semicolon="1" delimiter="\">
      <textFields count="8">
        <textField type="skip"/>
        <textField/>
        <textField/>
        <textField/>
        <textField/>
        <textField/>
        <textField type="skip"/>
        <textField type="skip"/>
      </textFields>
    </textPr>
  </connection>
  <connection id="28" xr16:uid="{A1AADA44-96EE-4E21-B1F9-38DAE14761F2}" name="HW5-NewReservations-updated (1)7" type="6" refreshedVersion="8" background="1" saveData="1">
    <textPr prompt="0" firstRow="2" sourceFile="C:\Users\zainq\Downloads\HW5-NewReservations-updated (1).txt" tab="0" comma="1" semicolon="1" delimiter="\">
      <textFields count="8">
        <textField type="skip"/>
        <textField/>
        <textField/>
        <textField/>
        <textField/>
        <textField/>
        <textField type="skip"/>
        <textField type="skip"/>
      </textFields>
    </textPr>
  </connection>
  <connection id="29" xr16:uid="{44261B4B-3736-42E8-9D35-6DD3850D09DB}" name="HW5-NewReservations-updated (1)8" type="6" refreshedVersion="8" background="1" saveData="1">
    <textPr prompt="0" firstRow="2" sourceFile="C:\Users\zainq\Downloads\HW5-NewReservations-updated (1).txt" tab="0" comma="1" semicolon="1" delimiter="\">
      <textFields count="8">
        <textField type="skip"/>
        <textField/>
        <textField/>
        <textField/>
        <textField/>
        <textField/>
        <textField type="skip"/>
        <textField type="skip"/>
      </textFields>
    </textPr>
  </connection>
  <connection id="30" xr16:uid="{1FA1BCAE-BF3C-46C8-B1BD-2AA2C9DFCBAB}" name="HW5-NewReservations-updated (1)9" type="6" refreshedVersion="8" background="1" saveData="1">
    <textPr prompt="0" firstRow="2" sourceFile="C:\Users\zainq\Downloads\HW5-NewReservations-updated (1).txt" tab="0" comma="1" semicolon="1" delimiter="\">
      <textFields count="8">
        <textField type="skip"/>
        <textField/>
        <textField/>
        <textField/>
        <textField/>
        <textField/>
        <textField type="skip"/>
        <textField type="skip"/>
      </textFields>
    </textPr>
  </connection>
  <connection id="31" xr16:uid="{00000000-0015-0000-FFFF-FFFF03000000}" name="NewReservations" type="6" refreshedVersion="5" background="1" saveData="1">
    <textPr prompt="0" firstRow="2" sourceFile="G:\My Drive\2-BIT-Teaching\BIT3424\Summer19\NewReservations.txt" tab="0" comma="1" semicolon="1" delimiter="\">
      <textFields count="7">
        <textField type="skip"/>
        <textField/>
        <textField/>
        <textField/>
        <textField/>
        <textField/>
        <textField type="skip"/>
      </textFields>
    </textPr>
  </connection>
  <connection id="32" xr16:uid="{00000000-0015-0000-FFFF-FFFF04000000}" name="NewReservations1" type="6" refreshedVersion="5" background="1" saveData="1">
    <textPr prompt="0" firstRow="2" sourceFile="G:\My Drive\2-BIT-Teaching\BIT3424\Summer19\NewReservations.txt" tab="0" comma="1" semicolon="1" delimiter="\">
      <textFields count="7">
        <textField type="skip"/>
        <textField/>
        <textField/>
        <textField/>
        <textField/>
        <textField/>
        <textField type="skip"/>
      </textFields>
    </textPr>
  </connection>
  <connection id="33" xr16:uid="{00000000-0015-0000-FFFF-FFFF05000000}" name="NewReservations10" type="6" refreshedVersion="5" background="1" saveData="1">
    <textPr prompt="0" firstRow="2" sourceFile="G:\My Drive\2-BIT-Teaching\BIT3424\Summer19\NewReservations.txt" tab="0" comma="1" semicolon="1" delimiter="\">
      <textFields count="7">
        <textField type="skip"/>
        <textField/>
        <textField/>
        <textField/>
        <textField/>
        <textField/>
        <textField type="skip"/>
      </textFields>
    </textPr>
  </connection>
  <connection id="34" xr16:uid="{2F527ED4-BD6D-45BE-9833-816D7FECEACF}" name="NewReservations11" type="6" refreshedVersion="5" background="1" saveData="1">
    <textPr prompt="0" firstRow="2" sourceFile="G:\My Drive\2-BIT-Teaching\BIT3424\Summer19\NewReservations.txt" tab="0" comma="1" semicolon="1" delimiter="\">
      <textFields count="7">
        <textField type="skip"/>
        <textField/>
        <textField/>
        <textField/>
        <textField/>
        <textField/>
        <textField type="skip"/>
      </textFields>
    </textPr>
  </connection>
  <connection id="35" xr16:uid="{F9616BDE-AC24-4706-A5F7-EC9142E86263}" name="NewReservations111" type="6" refreshedVersion="5" background="1" saveData="1">
    <textPr prompt="0" firstRow="2" sourceFile="G:\My Drive\2-BIT-Teaching\BIT3424\Summer19\NewReservations.txt" tab="0" comma="1" semicolon="1" delimiter="\">
      <textFields count="7">
        <textField type="skip"/>
        <textField/>
        <textField/>
        <textField/>
        <textField/>
        <textField/>
        <textField type="skip"/>
      </textFields>
    </textPr>
  </connection>
  <connection id="36" xr16:uid="{B8921AC4-9CDF-46F6-8F83-A9760FA3E011}" name="NewReservations12" type="6" refreshedVersion="6" background="1" saveData="1">
    <textPr prompt="0" firstRow="2" sourceFile="G:\My Drive\2-BIT-Teaching\BIT3424\Summer19\NewReservations.txt" tab="0" comma="1" semicolon="1" delimiter="\">
      <textFields count="7">
        <textField type="skip"/>
        <textField/>
        <textField/>
        <textField/>
        <textField/>
        <textField/>
        <textField type="skip"/>
      </textFields>
    </textPr>
  </connection>
  <connection id="37" xr16:uid="{BE30EE36-7707-4D99-A42E-282E139D6E7A}" name="NewReservations13" type="6" refreshedVersion="6" background="1" saveData="1">
    <textPr prompt="0" firstRow="2" sourceFile="G:\My Drive\2-BIT-Teaching\BIT3424\Summer19\NewReservations.txt" tab="0" comma="1" semicolon="1" delimiter="\">
      <textFields count="7">
        <textField type="skip"/>
        <textField/>
        <textField/>
        <textField/>
        <textField/>
        <textField/>
        <textField type="skip"/>
      </textFields>
    </textPr>
  </connection>
  <connection id="38" xr16:uid="{09DDD5DF-EF06-4679-8A3C-58E009801870}" name="NewReservations14" type="6" refreshedVersion="6" background="1" saveData="1">
    <textPr prompt="0" firstRow="2" sourceFile="G:\My Drive\2-BIT-Teaching\BIT3424\Summer19\NewReservations.txt" tab="0" comma="1" semicolon="1" delimiter="\">
      <textFields count="7">
        <textField type="skip"/>
        <textField/>
        <textField/>
        <textField/>
        <textField/>
        <textField/>
        <textField type="skip"/>
      </textFields>
    </textPr>
  </connection>
  <connection id="39" xr16:uid="{00000000-0015-0000-FFFF-FFFF05000000}" name="NewReservations2" type="6" refreshedVersion="5" background="1" saveData="1">
    <textPr prompt="0" firstRow="2" sourceFile="G:\My Drive\2-BIT-Teaching\BIT3424\Summer19\NewReservations.txt" tab="0" comma="1" semicolon="1" delimiter="\">
      <textFields count="7">
        <textField type="skip"/>
        <textField/>
        <textField/>
        <textField/>
        <textField/>
        <textField/>
        <textField type="skip"/>
      </textFields>
    </textPr>
  </connection>
  <connection id="40" xr16:uid="{94D67892-BA27-428E-A136-3922481E268B}" name="NewReservations21" type="6" refreshedVersion="5" background="1" saveData="1">
    <textPr prompt="0" firstRow="2" sourceFile="G:\My Drive\2-BIT-Teaching\BIT3424\Summer19\NewReservations.txt" tab="0" comma="1" semicolon="1" delimiter="\">
      <textFields count="7">
        <textField type="skip"/>
        <textField/>
        <textField/>
        <textField/>
        <textField/>
        <textField/>
        <textField type="skip"/>
      </textFields>
    </textPr>
  </connection>
  <connection id="41" xr16:uid="{00000000-0015-0000-FFFF-FFFF06000000}" name="NewReservations3" type="6" refreshedVersion="5" background="1" saveData="1">
    <textPr prompt="0" firstRow="2" sourceFile="G:\My Drive\2-BIT-Teaching\BIT3424\Summer19\NewReservations.txt" tab="0" comma="1" semicolon="1" delimiter="\">
      <textFields count="7">
        <textField type="skip"/>
        <textField/>
        <textField/>
        <textField/>
        <textField/>
        <textField/>
        <textField type="skip"/>
      </textFields>
    </textPr>
  </connection>
  <connection id="42" xr16:uid="{771A8E80-0574-44AF-B6F3-3AB9B34620FA}" name="NewReservations31" type="6" refreshedVersion="5" background="1" saveData="1">
    <textPr prompt="0" firstRow="2" sourceFile="G:\My Drive\2-BIT-Teaching\BIT3424\Summer19\NewReservations.txt" tab="0" comma="1" semicolon="1" delimiter="\">
      <textFields count="7">
        <textField type="skip"/>
        <textField/>
        <textField/>
        <textField/>
        <textField/>
        <textField/>
        <textField type="skip"/>
      </textFields>
    </textPr>
  </connection>
  <connection id="43" xr16:uid="{00000000-0015-0000-FFFF-FFFF07000000}" name="NewReservations4" type="6" refreshedVersion="5" background="1" saveData="1">
    <textPr prompt="0" firstRow="2" sourceFile="G:\My Drive\2-BIT-Teaching\BIT3424\Summer19\NewReservations.txt" tab="0" comma="1" semicolon="1" delimiter="\">
      <textFields count="7">
        <textField type="skip"/>
        <textField/>
        <textField/>
        <textField/>
        <textField/>
        <textField/>
        <textField type="skip"/>
      </textFields>
    </textPr>
  </connection>
  <connection id="44" xr16:uid="{284FFA65-84A1-4CA9-84E7-1DD49E824B96}" name="NewReservations41" type="6" refreshedVersion="5" background="1" saveData="1">
    <textPr prompt="0" firstRow="2" sourceFile="G:\My Drive\2-BIT-Teaching\BIT3424\Summer19\NewReservations.txt" tab="0" comma="1" semicolon="1" delimiter="\">
      <textFields count="7">
        <textField type="skip"/>
        <textField/>
        <textField/>
        <textField/>
        <textField/>
        <textField/>
        <textField type="skip"/>
      </textFields>
    </textPr>
  </connection>
  <connection id="45" xr16:uid="{00000000-0015-0000-FFFF-FFFF08000000}" name="NewReservations5" type="6" refreshedVersion="5" background="1" saveData="1">
    <textPr prompt="0" firstRow="2" sourceFile="G:\My Drive\2-BIT-Teaching\BIT3424\Summer19\NewReservations.txt" tab="0" comma="1" semicolon="1" delimiter="\">
      <textFields count="7">
        <textField type="skip"/>
        <textField/>
        <textField/>
        <textField/>
        <textField/>
        <textField/>
        <textField type="skip"/>
      </textFields>
    </textPr>
  </connection>
  <connection id="46" xr16:uid="{51DB7864-A09A-42A4-B517-11765E8F42DE}" name="NewReservations51" type="6" refreshedVersion="5" background="1" saveData="1">
    <textPr prompt="0" firstRow="2" sourceFile="G:\My Drive\2-BIT-Teaching\BIT3424\Summer19\NewReservations.txt" tab="0" comma="1" semicolon="1" delimiter="\">
      <textFields count="7">
        <textField type="skip"/>
        <textField/>
        <textField/>
        <textField/>
        <textField/>
        <textField/>
        <textField type="skip"/>
      </textFields>
    </textPr>
  </connection>
  <connection id="47" xr16:uid="{00000000-0015-0000-FFFF-FFFF09000000}" name="NewReservations6" type="6" refreshedVersion="5" background="1" saveData="1">
    <textPr prompt="0" firstRow="2" sourceFile="G:\My Drive\2-BIT-Teaching\BIT3424\Summer19\NewReservations.txt" tab="0" comma="1" semicolon="1" delimiter="\">
      <textFields count="7">
        <textField type="skip"/>
        <textField/>
        <textField/>
        <textField/>
        <textField/>
        <textField/>
        <textField type="skip"/>
      </textFields>
    </textPr>
  </connection>
  <connection id="48" xr16:uid="{6015AF64-C588-4D79-925A-8B10EAD441DC}" name="NewReservations61" type="6" refreshedVersion="5" background="1" saveData="1">
    <textPr prompt="0" firstRow="2" sourceFile="G:\My Drive\2-BIT-Teaching\BIT3424\Summer19\NewReservations.txt" tab="0" comma="1" semicolon="1" delimiter="\">
      <textFields count="7">
        <textField type="skip"/>
        <textField/>
        <textField/>
        <textField/>
        <textField/>
        <textField/>
        <textField type="skip"/>
      </textFields>
    </textPr>
  </connection>
  <connection id="49" xr16:uid="{55A2BDC3-D0CD-437E-B178-2856E606788F}" name="NewReservations7" type="6" refreshedVersion="5" background="1" saveData="1">
    <textPr prompt="0" firstRow="2" sourceFile="G:\My Drive\2-BIT-Teaching\BIT3424\Summer19\NewReservations.txt" tab="0" comma="1" semicolon="1" delimiter="\">
      <textFields count="7">
        <textField type="skip"/>
        <textField/>
        <textField/>
        <textField/>
        <textField/>
        <textField/>
        <textField type="skip"/>
      </textFields>
    </textPr>
  </connection>
  <connection id="50" xr16:uid="{7B0BC3C1-150A-4BC4-B413-CDB2E0B243C1}" name="NewReservations71" type="6" refreshedVersion="5" background="1" saveData="1">
    <textPr prompt="0" firstRow="2" sourceFile="G:\My Drive\2-BIT-Teaching\BIT3424\Summer19\NewReservations.txt" tab="0" comma="1" semicolon="1" delimiter="\">
      <textFields count="7">
        <textField type="skip"/>
        <textField/>
        <textField/>
        <textField/>
        <textField/>
        <textField/>
        <textField type="skip"/>
      </textFields>
    </textPr>
  </connection>
  <connection id="51" xr16:uid="{00000000-0015-0000-FFFF-FFFF0D000000}" name="NewReservations8" type="6" refreshedVersion="5" background="1" saveData="1">
    <textPr prompt="0" firstRow="2" sourceFile="G:\My Drive\2-BIT-Teaching\BIT3424\Summer19\NewReservations.txt" tab="0" comma="1" semicolon="1" delimiter="\">
      <textFields count="7">
        <textField type="skip"/>
        <textField/>
        <textField/>
        <textField/>
        <textField/>
        <textField/>
        <textField type="skip"/>
      </textFields>
    </textPr>
  </connection>
  <connection id="52" xr16:uid="{00000000-0015-0000-FFFF-FFFF0E000000}" name="NewReservations9" type="6" refreshedVersion="5" background="1" saveData="1">
    <textPr prompt="0" firstRow="2" sourceFile="G:\My Drive\2-BIT-Teaching\BIT3424\Summer19\NewReservations.txt" tab="0" comma="1" semicolon="1" delimiter="\">
      <textFields count="7">
        <textField type="skip"/>
        <textField/>
        <textField/>
        <textField/>
        <textField/>
        <textField/>
        <textField type="skip"/>
      </textFields>
    </textPr>
  </connection>
</connections>
</file>

<file path=xl/sharedStrings.xml><?xml version="1.0" encoding="utf-8"?>
<sst xmlns="http://schemas.openxmlformats.org/spreadsheetml/2006/main" count="372" uniqueCount="146">
  <si>
    <t>UserName</t>
  </si>
  <si>
    <t>Password</t>
  </si>
  <si>
    <t>Day</t>
  </si>
  <si>
    <t>Dinner</t>
  </si>
  <si>
    <t>Brunch</t>
  </si>
  <si>
    <t>Friday</t>
  </si>
  <si>
    <t>Saturday</t>
  </si>
  <si>
    <t>Sunday</t>
  </si>
  <si>
    <t>Customer Name</t>
  </si>
  <si>
    <t>Number in Party</t>
  </si>
  <si>
    <t>Time</t>
  </si>
  <si>
    <t>WELCOME</t>
  </si>
  <si>
    <t>Restaurant Reservation System</t>
  </si>
  <si>
    <t>WORKSHIFTS</t>
  </si>
  <si>
    <t>Workshift Assignments</t>
  </si>
  <si>
    <t>RESERVATIONS</t>
  </si>
  <si>
    <t>Customer Reservations</t>
  </si>
  <si>
    <t>Phone</t>
  </si>
  <si>
    <t>WorkShift</t>
  </si>
  <si>
    <t>Total Customers</t>
  </si>
  <si>
    <t>John</t>
  </si>
  <si>
    <t>Mary</t>
  </si>
  <si>
    <t>Enrique</t>
  </si>
  <si>
    <t>Amir</t>
  </si>
  <si>
    <t>SuHo</t>
  </si>
  <si>
    <t>Layla</t>
  </si>
  <si>
    <t>Total Waiters</t>
  </si>
  <si>
    <t>Total Needed</t>
  </si>
  <si>
    <t>Total Workshifts</t>
  </si>
  <si>
    <t>Max Shifts</t>
  </si>
  <si>
    <t>Waiter</t>
  </si>
  <si>
    <t>Waiter Assignment Decision Model</t>
  </si>
  <si>
    <t>Customer Reservations and Workshift Analytics</t>
  </si>
  <si>
    <t>Customer Reservations, Demand Analytics</t>
  </si>
  <si>
    <t>suzieQ</t>
  </si>
  <si>
    <t>tonyF</t>
  </si>
  <si>
    <t>abc</t>
  </si>
  <si>
    <t>xyz</t>
  </si>
  <si>
    <t>Workshift Total Customers</t>
  </si>
  <si>
    <t>Customer Reservation Information</t>
  </si>
  <si>
    <t>Availability</t>
  </si>
  <si>
    <t>Assignment</t>
  </si>
  <si>
    <t>Shift</t>
  </si>
  <si>
    <t>Name</t>
  </si>
  <si>
    <t>Suzie</t>
  </si>
  <si>
    <t>Tony</t>
  </si>
  <si>
    <t>Role</t>
  </si>
  <si>
    <t>Manager</t>
  </si>
  <si>
    <t>johnG</t>
  </si>
  <si>
    <t>ggg</t>
  </si>
  <si>
    <t>jjj</t>
  </si>
  <si>
    <t>maryJ</t>
  </si>
  <si>
    <t>enriqueH</t>
  </si>
  <si>
    <t>hhh</t>
  </si>
  <si>
    <t>amirS</t>
  </si>
  <si>
    <t>sss</t>
  </si>
  <si>
    <t>suhoQ</t>
  </si>
  <si>
    <t>qqq</t>
  </si>
  <si>
    <t>laylaZ</t>
  </si>
  <si>
    <t>zzz</t>
  </si>
  <si>
    <t>Add New Reservation</t>
  </si>
  <si>
    <t>New Rez Check</t>
  </si>
  <si>
    <t>BIT 3424</t>
  </si>
  <si>
    <t>Dr. Şeref</t>
  </si>
  <si>
    <t>Student Name:</t>
  </si>
  <si>
    <t>Unique File ID:</t>
  </si>
  <si>
    <t>First Open:</t>
  </si>
  <si>
    <t>Honor Policy:</t>
  </si>
  <si>
    <t>I swear to uphold the Virginia Tech Honor Policy (as specified in the course syllabus).</t>
  </si>
  <si>
    <t>I will not copy another student's file.</t>
  </si>
  <si>
    <t>I will not share my file with another student.</t>
  </si>
  <si>
    <t>Student Initial:</t>
  </si>
  <si>
    <t>Ignacio Peterson</t>
  </si>
  <si>
    <t>Ignacio Ubinto</t>
  </si>
  <si>
    <t>Gloria O'Patrick</t>
  </si>
  <si>
    <t>Ignacio Quin</t>
  </si>
  <si>
    <t>Amy Peterson</t>
  </si>
  <si>
    <t>Hui Torren</t>
  </si>
  <si>
    <t>Brian Ubinto</t>
  </si>
  <si>
    <t>Ignacio Lorenzo</t>
  </si>
  <si>
    <t>Fernandez Nicholson</t>
  </si>
  <si>
    <t>Ignacio Selam</t>
  </si>
  <si>
    <t>Emir Lorenzo</t>
  </si>
  <si>
    <t>Amy Viraz</t>
  </si>
  <si>
    <t>Brian Torren</t>
  </si>
  <si>
    <t>Ignacio Nicholson</t>
  </si>
  <si>
    <t>James Selam</t>
  </si>
  <si>
    <t>Daniel Ubinto</t>
  </si>
  <si>
    <t>Kumar Quin</t>
  </si>
  <si>
    <t>Emir Martinez</t>
  </si>
  <si>
    <t>James Torren</t>
  </si>
  <si>
    <t>Gloria Ubinto</t>
  </si>
  <si>
    <t>Fernandez Martinez</t>
  </si>
  <si>
    <t>Emir O'Patrick</t>
  </si>
  <si>
    <t>Brian Martinez</t>
  </si>
  <si>
    <t>Brian Peterson</t>
  </si>
  <si>
    <t>Ignacio O'Patrick</t>
  </si>
  <si>
    <t>James Martinez</t>
  </si>
  <si>
    <t>Kumar O'Patrick</t>
  </si>
  <si>
    <t>Brian O'Patrick</t>
  </si>
  <si>
    <t>Hui Ruhu</t>
  </si>
  <si>
    <t>Fernandez Quin</t>
  </si>
  <si>
    <t>James Viraz</t>
  </si>
  <si>
    <t>Daniel Martinez</t>
  </si>
  <si>
    <t>Ignacio Viraz</t>
  </si>
  <si>
    <t>Corina Viraz</t>
  </si>
  <si>
    <t>Amy Ruhu</t>
  </si>
  <si>
    <t>Emir Selam</t>
  </si>
  <si>
    <t>Fernandez Viraz</t>
  </si>
  <si>
    <t>Fernandez Peterson</t>
  </si>
  <si>
    <t>Gloria Martinez</t>
  </si>
  <si>
    <t>Kumar Peterson</t>
  </si>
  <si>
    <t>Hui Quin</t>
  </si>
  <si>
    <t>Gloria Peterson</t>
  </si>
  <si>
    <t>Hui Martinez</t>
  </si>
  <si>
    <t>Fernandez Selam</t>
  </si>
  <si>
    <t>Gloria Nicholson</t>
  </si>
  <si>
    <t>James Ruhu</t>
  </si>
  <si>
    <t>Emir Viraz</t>
  </si>
  <si>
    <t>Kumar Viraz</t>
  </si>
  <si>
    <t>Corina Martinez</t>
  </si>
  <si>
    <t>Daniel O'Patrick</t>
  </si>
  <si>
    <t>Fernandez Ruhu</t>
  </si>
  <si>
    <t>Daniel Lorenzo</t>
  </si>
  <si>
    <t>Fernandez Torren</t>
  </si>
  <si>
    <t>James O'Patrick</t>
  </si>
  <si>
    <t>Kumar Nicholson</t>
  </si>
  <si>
    <t>Brian Nicholson</t>
  </si>
  <si>
    <t>Brian Viraz</t>
  </si>
  <si>
    <t>Emir Nicholson</t>
  </si>
  <si>
    <t>Fernandez Lorenzo</t>
  </si>
  <si>
    <t>Daniel Peterson</t>
  </si>
  <si>
    <t>Daniel Viraz</t>
  </si>
  <si>
    <t>Daniel Ruhu</t>
  </si>
  <si>
    <t>Gloria Lorenzo</t>
  </si>
  <si>
    <t>Emir Ubinto</t>
  </si>
  <si>
    <t>Gloria Ruhu</t>
  </si>
  <si>
    <t>Daniel Selam</t>
  </si>
  <si>
    <t>Corina Torren</t>
  </si>
  <si>
    <t>zain qadri</t>
  </si>
  <si>
    <t>done</t>
  </si>
  <si>
    <t>zq</t>
  </si>
  <si>
    <t>Row Labels</t>
  </si>
  <si>
    <t>Grand Total</t>
  </si>
  <si>
    <t>Sum of Total Customers</t>
  </si>
  <si>
    <t>&lt; Select Shift First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</si>
</sst>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&lt;=9999999]###\-####;\(###\)\ ###\-####"/>
    <numFmt numFmtId="165" formatCode="[$-409]h:mm\ AM/PM;@"/>
    <numFmt numFmtId="166" formatCode="[$-F400]h:mm:ss\ AM/PM"/>
  </numFmts>
  <fonts count="1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4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theme="3"/>
      <name val="Arial"/>
      <family val="2"/>
    </font>
    <font>
      <i/>
      <sz val="12"/>
      <name val="Arial"/>
      <family val="2"/>
    </font>
    <font>
      <b/>
      <i/>
      <sz val="12"/>
      <color theme="5" tint="0.39997558519241921"/>
      <name val="Arial"/>
      <family val="2"/>
    </font>
    <font>
      <sz val="12"/>
      <color theme="5" tint="0.39997558519241921"/>
      <name val="Arial"/>
      <family val="2"/>
    </font>
    <font>
      <i/>
      <sz val="12"/>
      <color theme="5" tint="0.39997558519241921"/>
      <name val="Arial"/>
      <family val="2"/>
    </font>
    <font>
      <sz val="12"/>
      <color theme="0" tint="-0.34998626667073579"/>
      <name val="Arial"/>
      <family val="2"/>
    </font>
    <font>
      <i/>
      <sz val="11"/>
      <color rgb="FF7F7F7F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6" fillId="0" borderId="0"/>
    <xf numFmtId="0" fontId="16" fillId="0" borderId="0" applyNumberFormat="0" applyFill="0" applyBorder="0" applyAlignment="0" applyProtection="0"/>
  </cellStyleXfs>
  <cellXfs count="67">
    <xf numFmtId="0" fontId="0" fillId="0" borderId="0" xfId="0"/>
    <xf numFmtId="0" fontId="1" fillId="0" borderId="0" xfId="0" applyFont="1"/>
    <xf numFmtId="18" fontId="1" fillId="0" borderId="0" xfId="0" applyNumberFormat="1" applyFont="1"/>
    <xf numFmtId="0" fontId="1" fillId="3" borderId="0" xfId="0" applyFont="1" applyFill="1"/>
    <xf numFmtId="0" fontId="1" fillId="3" borderId="0" xfId="0" applyFont="1" applyFill="1" applyAlignment="1">
      <alignment horizontal="left"/>
    </xf>
    <xf numFmtId="0" fontId="3" fillId="3" borderId="0" xfId="0" applyFont="1" applyFill="1"/>
    <xf numFmtId="0" fontId="0" fillId="3" borderId="0" xfId="0" applyFill="1"/>
    <xf numFmtId="0" fontId="4" fillId="2" borderId="1" xfId="0" applyFont="1" applyFill="1" applyBorder="1"/>
    <xf numFmtId="0" fontId="1" fillId="2" borderId="2" xfId="0" applyFont="1" applyFill="1" applyBorder="1"/>
    <xf numFmtId="0" fontId="1" fillId="2" borderId="2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/>
    <xf numFmtId="0" fontId="4" fillId="7" borderId="4" xfId="0" applyFont="1" applyFill="1" applyBorder="1"/>
    <xf numFmtId="0" fontId="1" fillId="7" borderId="0" xfId="0" applyFont="1" applyFill="1"/>
    <xf numFmtId="0" fontId="1" fillId="7" borderId="0" xfId="0" applyFont="1" applyFill="1" applyAlignment="1">
      <alignment horizontal="left"/>
    </xf>
    <xf numFmtId="0" fontId="1" fillId="7" borderId="5" xfId="0" applyFont="1" applyFill="1" applyBorder="1"/>
    <xf numFmtId="0" fontId="5" fillId="7" borderId="6" xfId="0" applyFont="1" applyFill="1" applyBorder="1"/>
    <xf numFmtId="0" fontId="1" fillId="7" borderId="7" xfId="0" applyFont="1" applyFill="1" applyBorder="1"/>
    <xf numFmtId="0" fontId="1" fillId="7" borderId="7" xfId="0" applyFont="1" applyFill="1" applyBorder="1" applyAlignment="1">
      <alignment horizontal="left"/>
    </xf>
    <xf numFmtId="0" fontId="1" fillId="7" borderId="8" xfId="0" applyFont="1" applyFill="1" applyBorder="1"/>
    <xf numFmtId="0" fontId="0" fillId="7" borderId="9" xfId="0" applyFill="1" applyBorder="1"/>
    <xf numFmtId="165" fontId="0" fillId="7" borderId="9" xfId="0" applyNumberFormat="1" applyFill="1" applyBorder="1"/>
    <xf numFmtId="0" fontId="1" fillId="7" borderId="9" xfId="0" applyFont="1" applyFill="1" applyBorder="1"/>
    <xf numFmtId="0" fontId="2" fillId="6" borderId="9" xfId="0" applyFont="1" applyFill="1" applyBorder="1"/>
    <xf numFmtId="18" fontId="1" fillId="7" borderId="9" xfId="0" applyNumberFormat="1" applyFont="1" applyFill="1" applyBorder="1"/>
    <xf numFmtId="0" fontId="1" fillId="7" borderId="0" xfId="0" applyFont="1" applyFill="1" applyAlignment="1">
      <alignment horizontal="center"/>
    </xf>
    <xf numFmtId="0" fontId="1" fillId="7" borderId="7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2" fillId="6" borderId="9" xfId="0" applyFont="1" applyFill="1" applyBorder="1" applyAlignment="1">
      <alignment horizontal="center"/>
    </xf>
    <xf numFmtId="164" fontId="0" fillId="7" borderId="9" xfId="0" applyNumberFormat="1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1" fillId="7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0" fontId="1" fillId="8" borderId="9" xfId="0" applyFont="1" applyFill="1" applyBorder="1" applyAlignment="1">
      <alignment horizontal="center"/>
    </xf>
    <xf numFmtId="49" fontId="0" fillId="3" borderId="0" xfId="0" applyNumberFormat="1" applyFill="1"/>
    <xf numFmtId="0" fontId="1" fillId="9" borderId="9" xfId="0" applyFont="1" applyFill="1" applyBorder="1" applyAlignment="1">
      <alignment horizontal="center"/>
    </xf>
    <xf numFmtId="0" fontId="7" fillId="11" borderId="0" xfId="1" applyFont="1" applyFill="1"/>
    <xf numFmtId="0" fontId="8" fillId="11" borderId="0" xfId="1" applyFont="1" applyFill="1"/>
    <xf numFmtId="0" fontId="9" fillId="11" borderId="0" xfId="1" applyFont="1" applyFill="1"/>
    <xf numFmtId="0" fontId="11" fillId="12" borderId="0" xfId="1" applyFont="1" applyFill="1" applyAlignment="1">
      <alignment horizontal="left"/>
    </xf>
    <xf numFmtId="0" fontId="12" fillId="11" borderId="0" xfId="1" applyFont="1" applyFill="1"/>
    <xf numFmtId="0" fontId="13" fillId="11" borderId="0" xfId="1" applyFont="1" applyFill="1"/>
    <xf numFmtId="0" fontId="14" fillId="11" borderId="0" xfId="1" applyFont="1" applyFill="1" applyAlignment="1">
      <alignment horizontal="left"/>
    </xf>
    <xf numFmtId="0" fontId="15" fillId="11" borderId="0" xfId="1" applyFont="1" applyFill="1"/>
    <xf numFmtId="0" fontId="11" fillId="11" borderId="0" xfId="1" applyFont="1" applyFill="1"/>
    <xf numFmtId="0" fontId="10" fillId="7" borderId="9" xfId="1" applyFont="1" applyFill="1" applyBorder="1" applyAlignment="1" applyProtection="1">
      <alignment horizontal="left"/>
      <protection locked="0"/>
    </xf>
    <xf numFmtId="0" fontId="0" fillId="3" borderId="0" xfId="0" applyFill="1" applyAlignment="1">
      <alignment horizontal="left"/>
    </xf>
    <xf numFmtId="18" fontId="0" fillId="7" borderId="9" xfId="0" applyNumberFormat="1" applyFill="1" applyBorder="1"/>
    <xf numFmtId="18" fontId="1" fillId="0" borderId="9" xfId="0" applyNumberFormat="1" applyFont="1" applyBorder="1"/>
    <xf numFmtId="0" fontId="0" fillId="0" borderId="0" xfId="0" pivotButton="1"/>
    <xf numFmtId="0" fontId="0" fillId="0" borderId="0" xfId="0" applyAlignment="1">
      <alignment horizontal="left"/>
    </xf>
    <xf numFmtId="18" fontId="0" fillId="0" borderId="0" xfId="0" applyNumberFormat="1" applyAlignment="1">
      <alignment horizontal="left" indent="1"/>
    </xf>
    <xf numFmtId="166" fontId="0" fillId="0" borderId="0" xfId="0" applyNumberFormat="1"/>
    <xf numFmtId="0" fontId="10" fillId="7" borderId="10" xfId="1" applyFont="1" applyFill="1" applyBorder="1" applyAlignment="1" applyProtection="1">
      <alignment horizontal="left"/>
      <protection locked="0"/>
    </xf>
    <xf numFmtId="0" fontId="10" fillId="7" borderId="11" xfId="1" applyFont="1" applyFill="1" applyBorder="1" applyAlignment="1" applyProtection="1">
      <alignment horizontal="left"/>
      <protection locked="0"/>
    </xf>
    <xf numFmtId="0" fontId="10" fillId="7" borderId="12" xfId="1" applyFont="1" applyFill="1" applyBorder="1" applyAlignment="1" applyProtection="1">
      <alignment horizontal="left"/>
      <protection locked="0"/>
    </xf>
    <xf numFmtId="0" fontId="2" fillId="10" borderId="9" xfId="0" applyFont="1" applyFill="1" applyBorder="1" applyAlignment="1">
      <alignment horizontal="center"/>
    </xf>
    <xf numFmtId="0" fontId="2" fillId="10" borderId="13" xfId="0" applyFont="1" applyFill="1" applyBorder="1" applyAlignment="1">
      <alignment horizontal="center"/>
    </xf>
    <xf numFmtId="0" fontId="2" fillId="10" borderId="14" xfId="0" applyFont="1" applyFill="1" applyBorder="1" applyAlignment="1">
      <alignment horizontal="center"/>
    </xf>
    <xf numFmtId="0" fontId="16" fillId="0" borderId="15" xfId="2" applyBorder="1" applyAlignment="1">
      <alignment horizontal="center"/>
    </xf>
    <xf numFmtId="0" fontId="16" fillId="0" borderId="0" xfId="2" applyAlignment="1">
      <alignment horizontal="center"/>
    </xf>
    <xf numFmtId="0" fontId="2" fillId="10" borderId="10" xfId="0" applyFont="1" applyFill="1" applyBorder="1" applyAlignment="1">
      <alignment horizontal="center"/>
    </xf>
    <xf numFmtId="0" fontId="2" fillId="10" borderId="11" xfId="0" applyFont="1" applyFill="1" applyBorder="1" applyAlignment="1">
      <alignment horizontal="center"/>
    </xf>
    <xf numFmtId="0" fontId="2" fillId="10" borderId="12" xfId="0" applyFont="1" applyFill="1" applyBorder="1" applyAlignment="1">
      <alignment horizontal="center"/>
    </xf>
    <xf numFmtId="0" fontId="0" fillId="0" borderId="0" xfId="0" applyNumberFormat="1"/>
  </cellXfs>
  <cellStyles count="3">
    <cellStyle name="Explanatory Text" xfId="2" builtinId="53"/>
    <cellStyle name="Normal" xfId="0" builtinId="0"/>
    <cellStyle name="Normal 2" xfId="1" xr:uid="{00000000-0005-0000-0000-000001000000}"/>
  </cellStyles>
  <dxfs count="1"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[HW5-start-updated.xlsm]Hidden!PivotTable4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7.5751606318027451E-2"/>
              <c:y val="0.11241448930289547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0.20146699404509921"/>
              <c:y val="-7.245208407304525E-2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0.12800139229908089"/>
              <c:y val="-0.19799216079422433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0.17228854457708914"/>
              <c:y val="0.11749340351023761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Hidden!$C$16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992-40A6-8B94-6FD661E49B2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992-40A6-8B94-6FD661E49B2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992-40A6-8B94-6FD661E49B2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992-40A6-8B94-6FD661E49B2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992-40A6-8B94-6FD661E49B2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992-40A6-8B94-6FD661E49B23}"/>
              </c:ext>
            </c:extLst>
          </c:dPt>
          <c:dLbls>
            <c:dLbl>
              <c:idx val="0"/>
              <c:layout>
                <c:manualLayout>
                  <c:x val="-7.5751606318027451E-2"/>
                  <c:y val="0.1124144893028954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92-40A6-8B94-6FD661E49B2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92-40A6-8B94-6FD661E49B2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992-40A6-8B94-6FD661E49B23}"/>
                </c:ext>
              </c:extLst>
            </c:dLbl>
            <c:dLbl>
              <c:idx val="3"/>
              <c:layout>
                <c:manualLayout>
                  <c:x val="-0.20146699404509921"/>
                  <c:y val="-7.245208407304525E-2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92-40A6-8B94-6FD661E49B23}"/>
                </c:ext>
              </c:extLst>
            </c:dLbl>
            <c:dLbl>
              <c:idx val="4"/>
              <c:layout>
                <c:manualLayout>
                  <c:x val="0.12800139229908089"/>
                  <c:y val="-0.1979921607942243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992-40A6-8B94-6FD661E49B23}"/>
                </c:ext>
              </c:extLst>
            </c:dLbl>
            <c:dLbl>
              <c:idx val="5"/>
              <c:layout>
                <c:manualLayout>
                  <c:x val="0.17228854457708914"/>
                  <c:y val="0.1174934035102376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92-40A6-8B94-6FD661E49B23}"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Hidden!$B$17:$B$26</c:f>
              <c:multiLvlStrCache>
                <c:ptCount val="6"/>
                <c:lvl>
                  <c:pt idx="0">
                    <c:v>Brunch</c:v>
                  </c:pt>
                  <c:pt idx="1">
                    <c:v>Dinner</c:v>
                  </c:pt>
                  <c:pt idx="2">
                    <c:v>Brunch</c:v>
                  </c:pt>
                  <c:pt idx="3">
                    <c:v>Dinner</c:v>
                  </c:pt>
                  <c:pt idx="4">
                    <c:v>Brunch</c:v>
                  </c:pt>
                  <c:pt idx="5">
                    <c:v>Dinner</c:v>
                  </c:pt>
                </c:lvl>
                <c:lvl>
                  <c:pt idx="0">
                    <c:v>Sunday</c:v>
                  </c:pt>
                  <c:pt idx="2">
                    <c:v>Friday</c:v>
                  </c:pt>
                  <c:pt idx="4">
                    <c:v>Saturday</c:v>
                  </c:pt>
                </c:lvl>
              </c:multiLvlStrCache>
            </c:multiLvlStrRef>
          </c:cat>
          <c:val>
            <c:numRef>
              <c:f>Hidden!$C$17:$C$26</c:f>
              <c:numCache>
                <c:formatCode>General</c:formatCode>
                <c:ptCount val="6"/>
                <c:pt idx="0">
                  <c:v>62</c:v>
                </c:pt>
                <c:pt idx="1">
                  <c:v>0</c:v>
                </c:pt>
                <c:pt idx="2">
                  <c:v>0</c:v>
                </c:pt>
                <c:pt idx="3">
                  <c:v>167</c:v>
                </c:pt>
                <c:pt idx="4">
                  <c:v>131</c:v>
                </c:pt>
                <c:pt idx="5">
                  <c:v>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992-40A6-8B94-6FD661E49B23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295275</xdr:colOff>
      <xdr:row>3</xdr:row>
      <xdr:rowOff>171450</xdr:rowOff>
    </xdr:from>
    <xdr:to>
      <xdr:col>16</xdr:col>
      <xdr:colOff>600075</xdr:colOff>
      <xdr:row>25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952500"/>
          <a:ext cx="10058400" cy="4191000"/>
        </a:xfrm>
        <a:prstGeom prst="rect">
          <a:avLst/>
        </a:prstGeom>
        <a:ln w="19050">
          <a:solidFill>
            <a:sysClr val="windowText" lastClr="000000"/>
          </a:solidFill>
        </a:ln>
      </xdr:spPr>
    </xdr:pic>
    <xdr:clientData/>
  </xdr:twoCellAnchor>
  <xdr:twoCellAnchor>
    <xdr:from>
      <xdr:col>14</xdr:col>
      <xdr:colOff>66675</xdr:colOff>
      <xdr:row>1</xdr:row>
      <xdr:rowOff>76200</xdr:rowOff>
    </xdr:from>
    <xdr:to>
      <xdr:col>16</xdr:col>
      <xdr:colOff>523875</xdr:colOff>
      <xdr:row>2</xdr:row>
      <xdr:rowOff>171450</xdr:rowOff>
    </xdr:to>
    <xdr:sp macro="[0]!LogInButton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601075" y="342900"/>
          <a:ext cx="1676400" cy="36195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Log-In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409575</xdr:colOff>
      <xdr:row>1</xdr:row>
      <xdr:rowOff>71437</xdr:rowOff>
    </xdr:from>
    <xdr:to>
      <xdr:col>18</xdr:col>
      <xdr:colOff>409575</xdr:colOff>
      <xdr:row>2</xdr:row>
      <xdr:rowOff>166687</xdr:rowOff>
    </xdr:to>
    <xdr:sp macro="[0]!ExitButton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0325100" y="338137"/>
          <a:ext cx="1543050" cy="36195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Exit</a:t>
          </a:r>
        </a:p>
      </xdr:txBody>
    </xdr:sp>
    <xdr:clientData/>
  </xdr:twoCellAnchor>
  <xdr:twoCellAnchor>
    <xdr:from>
      <xdr:col>10</xdr:col>
      <xdr:colOff>266700</xdr:colOff>
      <xdr:row>1</xdr:row>
      <xdr:rowOff>71437</xdr:rowOff>
    </xdr:from>
    <xdr:to>
      <xdr:col>12</xdr:col>
      <xdr:colOff>352425</xdr:colOff>
      <xdr:row>2</xdr:row>
      <xdr:rowOff>166687</xdr:rowOff>
    </xdr:to>
    <xdr:sp macro="[0]!ImportHistData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7134225" y="338137"/>
          <a:ext cx="1714500" cy="36195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Import</a:t>
          </a:r>
          <a:r>
            <a:rPr lang="en-US" sz="1600" b="1" baseline="0">
              <a:solidFill>
                <a:sysClr val="windowText" lastClr="000000"/>
              </a:solidFill>
            </a:rPr>
            <a:t> New Data</a:t>
          </a:r>
          <a:endParaRPr lang="en-US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33337</xdr:colOff>
      <xdr:row>1</xdr:row>
      <xdr:rowOff>71437</xdr:rowOff>
    </xdr:from>
    <xdr:to>
      <xdr:col>15</xdr:col>
      <xdr:colOff>338137</xdr:colOff>
      <xdr:row>2</xdr:row>
      <xdr:rowOff>166687</xdr:rowOff>
    </xdr:to>
    <xdr:sp macro="[0]!NavButto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20162" y="338137"/>
          <a:ext cx="1333500" cy="36195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Navigate</a:t>
          </a:r>
        </a:p>
      </xdr:txBody>
    </xdr:sp>
    <xdr:clientData/>
  </xdr:twoCellAnchor>
  <xdr:twoCellAnchor>
    <xdr:from>
      <xdr:col>8</xdr:col>
      <xdr:colOff>476249</xdr:colOff>
      <xdr:row>3</xdr:row>
      <xdr:rowOff>76199</xdr:rowOff>
    </xdr:from>
    <xdr:to>
      <xdr:col>10</xdr:col>
      <xdr:colOff>114299</xdr:colOff>
      <xdr:row>5</xdr:row>
      <xdr:rowOff>133350</xdr:rowOff>
    </xdr:to>
    <xdr:sp macro="[0]!AddNewRez" textlink="">
      <xdr:nvSpPr>
        <xdr:cNvPr id="2" name="Rectangle 1">
          <a:extLst>
            <a:ext uri="{FF2B5EF4-FFF2-40B4-BE49-F238E27FC236}">
              <a16:creationId xmlns:a16="http://schemas.microsoft.com/office/drawing/2014/main" id="{034B7107-528B-7240-9033-A4EF89610B95}"/>
            </a:ext>
          </a:extLst>
        </xdr:cNvPr>
        <xdr:cNvSpPr/>
      </xdr:nvSpPr>
      <xdr:spPr>
        <a:xfrm>
          <a:off x="6210299" y="857249"/>
          <a:ext cx="885825" cy="438151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Add</a:t>
          </a:r>
          <a:r>
            <a:rPr lang="en-US" sz="1100" baseline="0">
              <a:solidFill>
                <a:sysClr val="windowText" lastClr="000000"/>
              </a:solidFill>
            </a:rPr>
            <a:t> New Rezervation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47625</xdr:colOff>
      <xdr:row>4</xdr:row>
      <xdr:rowOff>114299</xdr:rowOff>
    </xdr:from>
    <xdr:to>
      <xdr:col>24</xdr:col>
      <xdr:colOff>85725</xdr:colOff>
      <xdr:row>23</xdr:row>
      <xdr:rowOff>85724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FA72322A-C0F0-3E06-3EA8-A4E9432B1E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104776</xdr:colOff>
      <xdr:row>1</xdr:row>
      <xdr:rowOff>61912</xdr:rowOff>
    </xdr:from>
    <xdr:to>
      <xdr:col>14</xdr:col>
      <xdr:colOff>238125</xdr:colOff>
      <xdr:row>2</xdr:row>
      <xdr:rowOff>157162</xdr:rowOff>
    </xdr:to>
    <xdr:sp macro="[0]!SolveAssignm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5886451" y="328612"/>
          <a:ext cx="1685924" cy="36195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Solve Assignment</a:t>
          </a:r>
        </a:p>
      </xdr:txBody>
    </xdr:sp>
    <xdr:clientData/>
  </xdr:twoCellAnchor>
  <xdr:twoCellAnchor>
    <xdr:from>
      <xdr:col>17</xdr:col>
      <xdr:colOff>328613</xdr:colOff>
      <xdr:row>1</xdr:row>
      <xdr:rowOff>61912</xdr:rowOff>
    </xdr:from>
    <xdr:to>
      <xdr:col>20</xdr:col>
      <xdr:colOff>242888</xdr:colOff>
      <xdr:row>2</xdr:row>
      <xdr:rowOff>157162</xdr:rowOff>
    </xdr:to>
    <xdr:sp macro="[0]!ExitButton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8977313" y="328612"/>
          <a:ext cx="1162050" cy="36195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Exit</a:t>
          </a:r>
        </a:p>
      </xdr:txBody>
    </xdr:sp>
    <xdr:clientData/>
  </xdr:twoCellAnchor>
  <xdr:twoCellAnchor>
    <xdr:from>
      <xdr:col>14</xdr:col>
      <xdr:colOff>388144</xdr:colOff>
      <xdr:row>1</xdr:row>
      <xdr:rowOff>61912</xdr:rowOff>
    </xdr:from>
    <xdr:to>
      <xdr:col>17</xdr:col>
      <xdr:colOff>178594</xdr:colOff>
      <xdr:row>2</xdr:row>
      <xdr:rowOff>157162</xdr:rowOff>
    </xdr:to>
    <xdr:sp macro="[0]!NavButto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7722394" y="328612"/>
          <a:ext cx="1104900" cy="36195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Navigate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zainq\Documents\BIT%203424\HW3-start.xlsm" TargetMode="External"/><Relationship Id="rId1" Type="http://schemas.openxmlformats.org/officeDocument/2006/relationships/externalLinkPath" Target="HW3-sta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ocumentation"/>
      <sheetName val="P9"/>
      <sheetName val="P10"/>
      <sheetName val="P11"/>
      <sheetName val="P12"/>
    </sheetNames>
    <sheetDataSet>
      <sheetData sheetId="0" refreshError="1"/>
      <sheetData sheetId="1"/>
      <sheetData sheetId="2" refreshError="1"/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ain Qadri" refreshedDate="45040.660401504632" createdVersion="8" refreshedVersion="8" minRefreshableVersion="3" recordCount="28" xr:uid="{AEA2D5B1-3EAB-490C-B02B-EF617E9A7E56}">
  <cacheSource type="worksheet">
    <worksheetSource ref="J10:L38" sheet="Reservations"/>
  </cacheSource>
  <cacheFields count="3">
    <cacheField name="Day" numFmtId="0">
      <sharedItems count="3">
        <s v="Friday"/>
        <s v="Saturday"/>
        <s v="Sunday"/>
      </sharedItems>
    </cacheField>
    <cacheField name="Time" numFmtId="18">
      <sharedItems containsNonDate="0" containsDate="1" containsMixedTypes="1" minDate="1899-12-30T08:00:00" maxDate="1899-12-30T20:30:00" count="16">
        <d v="1899-12-30T17:00:00"/>
        <d v="1899-12-30T17:30:00"/>
        <d v="1899-12-30T18:00:00"/>
        <d v="1899-12-30T18:30:00"/>
        <d v="1899-12-30T19:00:00"/>
        <d v="1899-12-30T19:30:00"/>
        <d v="1899-12-30T20:00:00"/>
        <d v="1899-12-30T20:30:00"/>
        <d v="1899-12-30T08:00:00"/>
        <d v="1899-12-30T08:30:00"/>
        <d v="1899-12-30T09:00:00"/>
        <d v="1899-12-30T09:30:00"/>
        <d v="1899-12-30T10:00:00"/>
        <d v="1899-12-30T10:30:00"/>
        <s v="Brunch" f="1"/>
        <s v="Dinner" f="1"/>
      </sharedItems>
    </cacheField>
    <cacheField name="Total Customers" numFmtId="0">
      <sharedItems containsSemiMixedTypes="0" containsString="0" containsNumber="1" containsInteger="1" minValue="0" maxValue="30"/>
    </cacheField>
  </cacheFields>
  <calculatedItems count="2">
    <calculatedItem formula="Time['8:00:00']+Time['8:30:00']+Time['9:00:00']+Time['9:30:00']+Time['10:00:00']+Time['10:30:00']">
      <pivotArea cacheIndex="1" outline="0" fieldPosition="0">
        <references count="1">
          <reference field="1" count="1">
            <x v="14"/>
          </reference>
        </references>
      </pivotArea>
    </calculatedItem>
    <calculatedItem formula="Time['17:00:00']+Time['17:30:00']+Time['18:00:00']+Time['18:30:00']+Time['19:00:00']+Time['19:30:00']+Time['20:00:00']+Time['20:30:00']">
      <pivotArea cacheIndex="1" outline="0" fieldPosition="0">
        <references count="1">
          <reference field="1" count="1">
            <x v="15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x v="0"/>
    <x v="0"/>
    <n v="23"/>
  </r>
  <r>
    <x v="0"/>
    <x v="1"/>
    <n v="23"/>
  </r>
  <r>
    <x v="0"/>
    <x v="2"/>
    <n v="20"/>
  </r>
  <r>
    <x v="0"/>
    <x v="3"/>
    <n v="29"/>
  </r>
  <r>
    <x v="0"/>
    <x v="4"/>
    <n v="20"/>
  </r>
  <r>
    <x v="0"/>
    <x v="5"/>
    <n v="27"/>
  </r>
  <r>
    <x v="0"/>
    <x v="6"/>
    <n v="25"/>
  </r>
  <r>
    <x v="0"/>
    <x v="7"/>
    <n v="0"/>
  </r>
  <r>
    <x v="1"/>
    <x v="8"/>
    <n v="0"/>
  </r>
  <r>
    <x v="1"/>
    <x v="9"/>
    <n v="20"/>
  </r>
  <r>
    <x v="1"/>
    <x v="10"/>
    <n v="27"/>
  </r>
  <r>
    <x v="1"/>
    <x v="11"/>
    <n v="26"/>
  </r>
  <r>
    <x v="1"/>
    <x v="12"/>
    <n v="30"/>
  </r>
  <r>
    <x v="1"/>
    <x v="13"/>
    <n v="28"/>
  </r>
  <r>
    <x v="1"/>
    <x v="0"/>
    <n v="29"/>
  </r>
  <r>
    <x v="1"/>
    <x v="1"/>
    <n v="11"/>
  </r>
  <r>
    <x v="1"/>
    <x v="2"/>
    <n v="19"/>
  </r>
  <r>
    <x v="1"/>
    <x v="3"/>
    <n v="26"/>
  </r>
  <r>
    <x v="1"/>
    <x v="4"/>
    <n v="30"/>
  </r>
  <r>
    <x v="1"/>
    <x v="5"/>
    <n v="28"/>
  </r>
  <r>
    <x v="1"/>
    <x v="6"/>
    <n v="5"/>
  </r>
  <r>
    <x v="1"/>
    <x v="7"/>
    <n v="6"/>
  </r>
  <r>
    <x v="2"/>
    <x v="8"/>
    <n v="0"/>
  </r>
  <r>
    <x v="2"/>
    <x v="9"/>
    <n v="27"/>
  </r>
  <r>
    <x v="2"/>
    <x v="10"/>
    <n v="17"/>
  </r>
  <r>
    <x v="2"/>
    <x v="11"/>
    <n v="8"/>
  </r>
  <r>
    <x v="2"/>
    <x v="12"/>
    <n v="5"/>
  </r>
  <r>
    <x v="2"/>
    <x v="13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778341-64C7-48A6-8A2F-816A99E194D9}" name="PivotTable4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B16:C26" firstHeaderRow="1" firstDataRow="1" firstDataCol="1"/>
  <pivotFields count="3">
    <pivotField axis="axisRow" showAll="0">
      <items count="4">
        <item x="2"/>
        <item x="0"/>
        <item x="1"/>
        <item t="default"/>
      </items>
    </pivotField>
    <pivotField axis="axisRow" numFmtId="18" showAll="0">
      <items count="17">
        <item h="1" x="8"/>
        <item h="1" x="9"/>
        <item h="1" x="10"/>
        <item h="1" x="11"/>
        <item h="1" x="12"/>
        <item h="1" x="13"/>
        <item h="1" x="0"/>
        <item h="1" x="1"/>
        <item h="1" x="2"/>
        <item h="1" x="3"/>
        <item h="1" x="4"/>
        <item h="1" x="5"/>
        <item h="1" x="6"/>
        <item h="1" x="7"/>
        <item f="1" x="14"/>
        <item f="1" x="15"/>
        <item t="default"/>
      </items>
    </pivotField>
    <pivotField dataField="1" showAll="0"/>
  </pivotFields>
  <rowFields count="2">
    <field x="0"/>
    <field x="1"/>
  </rowFields>
  <rowItems count="10">
    <i>
      <x/>
    </i>
    <i r="1">
      <x v="14"/>
    </i>
    <i r="1">
      <x v="15"/>
    </i>
    <i>
      <x v="1"/>
    </i>
    <i r="1">
      <x v="14"/>
    </i>
    <i r="1">
      <x v="15"/>
    </i>
    <i>
      <x v="2"/>
    </i>
    <i r="1">
      <x v="14"/>
    </i>
    <i r="1">
      <x v="15"/>
    </i>
    <i t="grand">
      <x/>
    </i>
  </rowItems>
  <colItems count="1">
    <i/>
  </colItems>
  <dataFields count="1">
    <dataField name="Sum of Total Customers" fld="2" baseField="0" baseItem="0"/>
  </dataFields>
  <chartFormats count="7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4"/>
          </reference>
        </references>
      </pivotArea>
    </chartFormat>
    <chartFormat chart="2" format="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5"/>
          </reference>
        </references>
      </pivotArea>
    </chartFormat>
    <chartFormat chart="2" format="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4"/>
          </reference>
        </references>
      </pivotArea>
    </chartFormat>
    <chartFormat chart="2" format="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5"/>
          </reference>
        </references>
      </pivotArea>
    </chartFormat>
    <chartFormat chart="2" format="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4"/>
          </reference>
        </references>
      </pivotArea>
    </chartFormat>
    <chartFormat chart="2" format="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growShrinkType="overwriteClear" adjustColumnWidth="0" connectionId="22" xr16:uid="{B955CFEA-344C-4531-90C6-D8355C733B05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growShrinkType="overwriteClear" adjustColumnWidth="0" connectionId="11" xr16:uid="{0613BE71-42D7-48FF-87EA-9E74BB1B4E5B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growShrinkType="overwriteClear" adjustColumnWidth="0" connectionId="10" xr16:uid="{A61C5740-5CA7-4670-857F-2C8053A78EB5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growShrinkType="overwriteClear" adjustColumnWidth="0" connectionId="21" xr16:uid="{B2F88E7F-2785-486C-B5D5-3C7354C958EB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adjustColumnWidth="0" connectionId="51" xr16:uid="{AB4CF889-D403-4788-BA74-7E2ED0FE6DB6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adjustColumnWidth="0" connectionId="31" xr16:uid="{00000000-0016-0000-0300-000009000000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adjustColumnWidth="0" connectionId="12" xr16:uid="{73C669AE-EBA4-41ED-822D-DFD360A64374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adjustColumnWidth="0" connectionId="32" xr16:uid="{00000000-0016-0000-0300-000005000000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adjustColumnWidth="0" connectionId="49" xr16:uid="{8810D412-A8D6-423B-96FF-912E25DD06FD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adjustColumnWidth="0" connectionId="47" xr16:uid="{00000000-0016-0000-0300-00000300000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adjustColumnWidth="0" connectionId="35" xr16:uid="{8B1FAE44-DC29-4A59-B729-311CDFBD234C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growShrinkType="overwriteClear" adjustColumnWidth="0" connectionId="19" xr16:uid="{F008FF00-5BE5-415C-98C7-0C8BE8A8B515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adjustColumnWidth="0" connectionId="37" xr16:uid="{5626B5FA-07D4-4FBF-B1FD-36CA0A1F8774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adjustColumnWidth="0" connectionId="25" xr16:uid="{A0458832-3384-443A-83AD-FDBC1154DDF4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adjustColumnWidth="0" connectionId="4" xr16:uid="{8736C740-3159-4526-AC4E-943A51430615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adjustColumnWidth="0" connectionId="46" xr16:uid="{6008480D-77C2-4DB6-8DD6-32019611D4E8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adjustColumnWidth="0" connectionId="2" xr16:uid="{00000000-0016-0000-0300-000006000000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adjustColumnWidth="0" connectionId="39" xr16:uid="{00000000-0016-0000-0300-000000000000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growShrinkType="overwriteClear" adjustColumnWidth="0" connectionId="18" xr16:uid="{A4F4F8AE-79C9-4B7A-9F39-564B60443064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adjustColumnWidth="0" connectionId="44" xr16:uid="{C02EB7DF-9B7E-48D1-B505-66FF2C0C5475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adjustColumnWidth="0" connectionId="42" xr16:uid="{A4E0C88D-E358-4580-BB9C-85FF0FFEC1AA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adjustColumnWidth="0" connectionId="27" xr16:uid="{CA7CAB53-5CD9-410E-A038-B41145EA408C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Reservations" growShrinkType="overwriteClear" adjustColumnWidth="0" connectionId="1" xr16:uid="{00000000-0016-0000-0300-000004000000}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growShrinkType="overwriteClear" adjustColumnWidth="0" connectionId="17" xr16:uid="{C72E70B1-E983-4278-B2F6-D7CCDC6F481A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adjustColumnWidth="0" connectionId="41" xr16:uid="{00000000-0016-0000-0300-000008000000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growShrinkType="overwriteClear" adjustColumnWidth="0" connectionId="16" xr16:uid="{BC2A49AE-9E54-4B7D-BDB9-417E18C1F69F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adjustColumnWidth="0" connectionId="43" xr16:uid="{00000000-0016-0000-0300-000002000000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adjustColumnWidth="0" connectionId="9" xr16:uid="{AAE46A86-230A-410C-B49D-3D82C7395163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adjustColumnWidth="0" connectionId="36" xr16:uid="{7BF369A4-4605-4581-85B8-4D36B05A19CC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adjustColumnWidth="0" connectionId="45" xr16:uid="{00000000-0016-0000-0300-000007000000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adjustColumnWidth="0" connectionId="50" xr16:uid="{8D07D7F3-78F0-4249-BEAD-4D1F7679FC42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adjustColumnWidth="0" connectionId="29" xr16:uid="{952B680F-ADEC-4BB2-B912-6746123743ED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adjustColumnWidth="0" connectionId="13" xr16:uid="{7FC796BC-726C-4176-BD85-52DE6319E765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growShrinkType="overwriteClear" adjustColumnWidth="0" connectionId="20" xr16:uid="{AEA9A84F-8A85-453C-951C-4B07A4CCE60B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adjustColumnWidth="0" connectionId="26" xr16:uid="{F4D9AD91-CD1F-4911-AF5A-ED4DDF9DB4F1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adjustColumnWidth="0" connectionId="6" xr16:uid="{EA15C237-B6E3-4E00-8983-25EFA548E348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adjustColumnWidth="0" connectionId="5" xr16:uid="{1583FAA0-9D7B-44E5-BC50-BE8260453A51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adjustColumnWidth="0" connectionId="52" xr16:uid="{68784930-BE10-42AC-B2B9-77FE34DE5068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adjustColumnWidth="0" connectionId="24" xr16:uid="{7D0FF3C4-FB5F-41FC-88A9-C34F52EE956C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adjustColumnWidth="0" connectionId="30" xr16:uid="{2A5664EA-BD05-4B91-B0E7-F983050E6690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adjustColumnWidth="0" connectionId="15" xr16:uid="{1F2EEC01-A2BA-4056-8EC7-11E8E55C79A2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adjustColumnWidth="0" connectionId="14" xr16:uid="{E607289E-70A1-4C83-B1F9-04E9D5653FE4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adjustColumnWidth="0" connectionId="28" xr16:uid="{CDCA3CE3-7C1A-49D6-8101-6849F225843E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adjustColumnWidth="0" connectionId="23" xr16:uid="{A7E0543F-57BB-4A4D-BC35-DE5FA8AA9B22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adjustColumnWidth="0" connectionId="38" xr16:uid="{F37C4DD1-4E6B-4D0D-8BB2-83A26485112F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adjustColumnWidth="0" connectionId="34" xr16:uid="{37E745A2-F38E-4D03-9C47-1D669A33ADAA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adjustColumnWidth="0" connectionId="3" xr16:uid="{00000000-0016-0000-0300-000001000000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adjustColumnWidth="0" connectionId="7" xr16:uid="{297BC1E0-EAF0-492F-9699-335DB939A7EB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adjustColumnWidth="0" connectionId="33" xr16:uid="{C861DFF3-B096-45C4-940A-EDB519F954E9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adjustColumnWidth="0" connectionId="8" xr16:uid="{DA72EF62-B657-4109-BF32-1F737B87DCF2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adjustColumnWidth="0" connectionId="48" xr16:uid="{097F015D-407B-44F7-AFCF-06019876E3F8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adjustColumnWidth="0" connectionId="40" xr16:uid="{8A5CCB86-FE4C-4B76-A973-B96F91987E33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1.xml"/><Relationship Id="rId18" Type="http://schemas.openxmlformats.org/officeDocument/2006/relationships/queryTable" Target="../queryTables/queryTable16.xml"/><Relationship Id="rId26" Type="http://schemas.openxmlformats.org/officeDocument/2006/relationships/queryTable" Target="../queryTables/queryTable24.xml"/><Relationship Id="rId39" Type="http://schemas.openxmlformats.org/officeDocument/2006/relationships/queryTable" Target="../queryTables/queryTable37.xml"/><Relationship Id="rId21" Type="http://schemas.openxmlformats.org/officeDocument/2006/relationships/queryTable" Target="../queryTables/queryTable19.xml"/><Relationship Id="rId34" Type="http://schemas.openxmlformats.org/officeDocument/2006/relationships/queryTable" Target="../queryTables/queryTable32.xml"/><Relationship Id="rId42" Type="http://schemas.openxmlformats.org/officeDocument/2006/relationships/queryTable" Target="../queryTables/queryTable40.xml"/><Relationship Id="rId47" Type="http://schemas.openxmlformats.org/officeDocument/2006/relationships/queryTable" Target="../queryTables/queryTable45.xml"/><Relationship Id="rId50" Type="http://schemas.openxmlformats.org/officeDocument/2006/relationships/queryTable" Target="../queryTables/queryTable48.xml"/><Relationship Id="rId7" Type="http://schemas.openxmlformats.org/officeDocument/2006/relationships/queryTable" Target="../queryTables/queryTable5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14.xml"/><Relationship Id="rId29" Type="http://schemas.openxmlformats.org/officeDocument/2006/relationships/queryTable" Target="../queryTables/queryTable27.xml"/><Relationship Id="rId11" Type="http://schemas.openxmlformats.org/officeDocument/2006/relationships/queryTable" Target="../queryTables/queryTable9.xml"/><Relationship Id="rId24" Type="http://schemas.openxmlformats.org/officeDocument/2006/relationships/queryTable" Target="../queryTables/queryTable22.xml"/><Relationship Id="rId32" Type="http://schemas.openxmlformats.org/officeDocument/2006/relationships/queryTable" Target="../queryTables/queryTable30.xml"/><Relationship Id="rId37" Type="http://schemas.openxmlformats.org/officeDocument/2006/relationships/queryTable" Target="../queryTables/queryTable35.xml"/><Relationship Id="rId40" Type="http://schemas.openxmlformats.org/officeDocument/2006/relationships/queryTable" Target="../queryTables/queryTable38.xml"/><Relationship Id="rId45" Type="http://schemas.openxmlformats.org/officeDocument/2006/relationships/queryTable" Target="../queryTables/queryTable43.xml"/><Relationship Id="rId53" Type="http://schemas.openxmlformats.org/officeDocument/2006/relationships/queryTable" Target="../queryTables/queryTable51.xml"/><Relationship Id="rId5" Type="http://schemas.openxmlformats.org/officeDocument/2006/relationships/queryTable" Target="../queryTables/queryTable3.xml"/><Relationship Id="rId10" Type="http://schemas.openxmlformats.org/officeDocument/2006/relationships/queryTable" Target="../queryTables/queryTable8.xml"/><Relationship Id="rId19" Type="http://schemas.openxmlformats.org/officeDocument/2006/relationships/queryTable" Target="../queryTables/queryTable17.xml"/><Relationship Id="rId31" Type="http://schemas.openxmlformats.org/officeDocument/2006/relationships/queryTable" Target="../queryTables/queryTable29.xml"/><Relationship Id="rId44" Type="http://schemas.openxmlformats.org/officeDocument/2006/relationships/queryTable" Target="../queryTables/queryTable42.xml"/><Relationship Id="rId52" Type="http://schemas.openxmlformats.org/officeDocument/2006/relationships/queryTable" Target="../queryTables/queryTable50.xml"/><Relationship Id="rId4" Type="http://schemas.openxmlformats.org/officeDocument/2006/relationships/queryTable" Target="../queryTables/queryTable2.xml"/><Relationship Id="rId9" Type="http://schemas.openxmlformats.org/officeDocument/2006/relationships/queryTable" Target="../queryTables/queryTable7.xml"/><Relationship Id="rId14" Type="http://schemas.openxmlformats.org/officeDocument/2006/relationships/queryTable" Target="../queryTables/queryTable12.xml"/><Relationship Id="rId22" Type="http://schemas.openxmlformats.org/officeDocument/2006/relationships/queryTable" Target="../queryTables/queryTable20.xml"/><Relationship Id="rId27" Type="http://schemas.openxmlformats.org/officeDocument/2006/relationships/queryTable" Target="../queryTables/queryTable25.xml"/><Relationship Id="rId30" Type="http://schemas.openxmlformats.org/officeDocument/2006/relationships/queryTable" Target="../queryTables/queryTable28.xml"/><Relationship Id="rId35" Type="http://schemas.openxmlformats.org/officeDocument/2006/relationships/queryTable" Target="../queryTables/queryTable33.xml"/><Relationship Id="rId43" Type="http://schemas.openxmlformats.org/officeDocument/2006/relationships/queryTable" Target="../queryTables/queryTable41.xml"/><Relationship Id="rId48" Type="http://schemas.openxmlformats.org/officeDocument/2006/relationships/queryTable" Target="../queryTables/queryTable46.xml"/><Relationship Id="rId8" Type="http://schemas.openxmlformats.org/officeDocument/2006/relationships/queryTable" Target="../queryTables/queryTable6.xml"/><Relationship Id="rId51" Type="http://schemas.openxmlformats.org/officeDocument/2006/relationships/queryTable" Target="../queryTables/queryTable49.xml"/><Relationship Id="rId3" Type="http://schemas.openxmlformats.org/officeDocument/2006/relationships/queryTable" Target="../queryTables/queryTable1.xml"/><Relationship Id="rId12" Type="http://schemas.openxmlformats.org/officeDocument/2006/relationships/queryTable" Target="../queryTables/queryTable10.xml"/><Relationship Id="rId17" Type="http://schemas.openxmlformats.org/officeDocument/2006/relationships/queryTable" Target="../queryTables/queryTable15.xml"/><Relationship Id="rId25" Type="http://schemas.openxmlformats.org/officeDocument/2006/relationships/queryTable" Target="../queryTables/queryTable23.xml"/><Relationship Id="rId33" Type="http://schemas.openxmlformats.org/officeDocument/2006/relationships/queryTable" Target="../queryTables/queryTable31.xml"/><Relationship Id="rId38" Type="http://schemas.openxmlformats.org/officeDocument/2006/relationships/queryTable" Target="../queryTables/queryTable36.xml"/><Relationship Id="rId46" Type="http://schemas.openxmlformats.org/officeDocument/2006/relationships/queryTable" Target="../queryTables/queryTable44.xml"/><Relationship Id="rId20" Type="http://schemas.openxmlformats.org/officeDocument/2006/relationships/queryTable" Target="../queryTables/queryTable18.xml"/><Relationship Id="rId41" Type="http://schemas.openxmlformats.org/officeDocument/2006/relationships/queryTable" Target="../queryTables/queryTable39.xml"/><Relationship Id="rId54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4.xml"/><Relationship Id="rId15" Type="http://schemas.openxmlformats.org/officeDocument/2006/relationships/queryTable" Target="../queryTables/queryTable13.xml"/><Relationship Id="rId23" Type="http://schemas.openxmlformats.org/officeDocument/2006/relationships/queryTable" Target="../queryTables/queryTable21.xml"/><Relationship Id="rId28" Type="http://schemas.openxmlformats.org/officeDocument/2006/relationships/queryTable" Target="../queryTables/queryTable26.xml"/><Relationship Id="rId36" Type="http://schemas.openxmlformats.org/officeDocument/2006/relationships/queryTable" Target="../queryTables/queryTable34.xml"/><Relationship Id="rId49" Type="http://schemas.openxmlformats.org/officeDocument/2006/relationships/queryTable" Target="../queryTables/queryTable4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2:G16"/>
  <sheetViews>
    <sheetView showGridLines="0" showRowColHeaders="0" zoomScale="85" zoomScaleNormal="85" workbookViewId="0">
      <selection activeCell="D5" sqref="D5:G5"/>
    </sheetView>
  </sheetViews>
  <sheetFormatPr defaultColWidth="9.140625" defaultRowHeight="15" x14ac:dyDescent="0.2"/>
  <cols>
    <col min="1" max="16384" width="9.140625" style="39"/>
  </cols>
  <sheetData>
    <row r="2" spans="2:7" ht="20.25" x14ac:dyDescent="0.3">
      <c r="B2" s="38" t="s">
        <v>62</v>
      </c>
    </row>
    <row r="3" spans="2:7" ht="20.25" x14ac:dyDescent="0.3">
      <c r="B3" s="38" t="s">
        <v>63</v>
      </c>
    </row>
    <row r="4" spans="2:7" ht="15.75" x14ac:dyDescent="0.25">
      <c r="B4" s="40"/>
    </row>
    <row r="5" spans="2:7" ht="15.75" x14ac:dyDescent="0.25">
      <c r="B5" s="40" t="s">
        <v>64</v>
      </c>
      <c r="D5" s="55" t="s">
        <v>139</v>
      </c>
      <c r="E5" s="56"/>
      <c r="F5" s="56"/>
      <c r="G5" s="57"/>
    </row>
    <row r="6" spans="2:7" ht="15.75" x14ac:dyDescent="0.25">
      <c r="B6" s="40"/>
    </row>
    <row r="7" spans="2:7" ht="15.75" x14ac:dyDescent="0.25">
      <c r="B7" s="40" t="s">
        <v>65</v>
      </c>
      <c r="D7" s="41">
        <v>35510</v>
      </c>
    </row>
    <row r="8" spans="2:7" x14ac:dyDescent="0.2">
      <c r="B8" s="42" t="s">
        <v>66</v>
      </c>
      <c r="C8" s="43"/>
      <c r="D8" s="44" t="s">
        <v>140</v>
      </c>
    </row>
    <row r="9" spans="2:7" x14ac:dyDescent="0.2">
      <c r="B9" s="42"/>
      <c r="C9" s="43"/>
      <c r="D9" s="44"/>
    </row>
    <row r="10" spans="2:7" x14ac:dyDescent="0.2">
      <c r="B10" s="45"/>
      <c r="C10" s="45"/>
      <c r="D10" s="45"/>
    </row>
    <row r="11" spans="2:7" ht="15.75" x14ac:dyDescent="0.25">
      <c r="B11" s="40" t="s">
        <v>67</v>
      </c>
    </row>
    <row r="12" spans="2:7" x14ac:dyDescent="0.2">
      <c r="B12" s="46" t="s">
        <v>68</v>
      </c>
    </row>
    <row r="13" spans="2:7" x14ac:dyDescent="0.2">
      <c r="B13" s="46" t="s">
        <v>69</v>
      </c>
    </row>
    <row r="14" spans="2:7" x14ac:dyDescent="0.2">
      <c r="B14" s="46" t="s">
        <v>70</v>
      </c>
    </row>
    <row r="16" spans="2:7" ht="15.75" x14ac:dyDescent="0.25">
      <c r="B16" s="40" t="s">
        <v>71</v>
      </c>
      <c r="D16" s="47" t="s">
        <v>141</v>
      </c>
    </row>
  </sheetData>
  <sheetProtection algorithmName="SHA-512" hashValue="z7h/uoyceJfaAC4dBUoDkoxcYCpFziYkHWfmMqOFEA9SIDk9ZOT4aE9Nzp5NmcMO37Bi0//Q36WU+r87y9ku1A==" saltValue="CGA+kbNCz/xQYeeDKQqzvQ==" spinCount="100000" sheet="1" objects="1" scenarios="1" selectLockedCells="1"/>
  <mergeCells count="1">
    <mergeCell ref="D5:G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Q6"/>
  <sheetViews>
    <sheetView tabSelected="1" workbookViewId="0">
      <selection activeCell="R4" sqref="R4"/>
    </sheetView>
  </sheetViews>
  <sheetFormatPr defaultColWidth="9.140625" defaultRowHeight="15" x14ac:dyDescent="0.25"/>
  <cols>
    <col min="1" max="16384" width="9.140625" style="6"/>
  </cols>
  <sheetData>
    <row r="1" spans="1:17" s="3" customFormat="1" ht="21" x14ac:dyDescent="0.35">
      <c r="A1" s="7" t="s">
        <v>11</v>
      </c>
      <c r="B1" s="8"/>
      <c r="C1" s="8"/>
      <c r="D1" s="8"/>
      <c r="E1" s="9"/>
      <c r="F1" s="10"/>
      <c r="G1" s="8"/>
      <c r="H1" s="8"/>
      <c r="I1" s="8"/>
      <c r="J1" s="8"/>
      <c r="K1" s="8"/>
      <c r="L1" s="8"/>
      <c r="M1" s="8"/>
      <c r="N1" s="8"/>
      <c r="O1" s="8"/>
      <c r="P1" s="8"/>
      <c r="Q1" s="11"/>
    </row>
    <row r="2" spans="1:17" s="3" customFormat="1" ht="21" x14ac:dyDescent="0.35">
      <c r="A2" s="12" t="s">
        <v>12</v>
      </c>
      <c r="B2" s="13"/>
      <c r="C2" s="13"/>
      <c r="D2" s="13"/>
      <c r="E2" s="14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5"/>
    </row>
    <row r="3" spans="1:17" s="3" customFormat="1" ht="19.5" thickBot="1" x14ac:dyDescent="0.35">
      <c r="A3" s="16" t="s">
        <v>32</v>
      </c>
      <c r="B3" s="17"/>
      <c r="C3" s="17"/>
      <c r="D3" s="17"/>
      <c r="E3" s="18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9"/>
    </row>
    <row r="4" spans="1:17" s="3" customFormat="1" x14ac:dyDescent="0.25">
      <c r="A4" s="5"/>
      <c r="E4" s="4"/>
    </row>
    <row r="5" spans="1:17" s="3" customFormat="1" x14ac:dyDescent="0.25">
      <c r="A5" s="5"/>
      <c r="E5" s="4"/>
    </row>
    <row r="6" spans="1:17" s="3" customFormat="1" x14ac:dyDescent="0.25">
      <c r="A6" s="5"/>
      <c r="E6" s="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26"/>
  <sheetViews>
    <sheetView zoomScaleNormal="100" workbookViewId="0">
      <selection activeCell="D14" sqref="D14"/>
    </sheetView>
  </sheetViews>
  <sheetFormatPr defaultRowHeight="15" x14ac:dyDescent="0.25"/>
  <cols>
    <col min="1" max="1" width="10.28515625" bestFit="1" customWidth="1"/>
    <col min="2" max="2" width="13.140625" bestFit="1" customWidth="1"/>
    <col min="3" max="3" width="22.28515625" bestFit="1" customWidth="1"/>
    <col min="4" max="4" width="10.5703125" customWidth="1"/>
    <col min="7" max="7" width="8.7109375" bestFit="1" customWidth="1"/>
    <col min="8" max="8" width="7.140625" bestFit="1" customWidth="1"/>
    <col min="9" max="9" width="7.85546875" bestFit="1" customWidth="1"/>
    <col min="10" max="10" width="9" bestFit="1" customWidth="1"/>
    <col min="12" max="12" width="10.42578125" bestFit="1" customWidth="1"/>
    <col min="13" max="13" width="6.42578125" customWidth="1"/>
    <col min="14" max="14" width="8.7109375" customWidth="1"/>
    <col min="15" max="15" width="11.28515625" bestFit="1" customWidth="1"/>
  </cols>
  <sheetData>
    <row r="1" spans="1:12" x14ac:dyDescent="0.25">
      <c r="A1" t="s">
        <v>0</v>
      </c>
      <c r="B1" t="s">
        <v>1</v>
      </c>
      <c r="C1" t="s">
        <v>43</v>
      </c>
      <c r="D1" t="s">
        <v>46</v>
      </c>
      <c r="G1" s="1" t="s">
        <v>2</v>
      </c>
      <c r="H1" s="1" t="s">
        <v>42</v>
      </c>
      <c r="I1" s="1" t="s">
        <v>3</v>
      </c>
      <c r="J1" s="1" t="s">
        <v>4</v>
      </c>
    </row>
    <row r="2" spans="1:12" x14ac:dyDescent="0.25">
      <c r="A2" t="s">
        <v>34</v>
      </c>
      <c r="B2" t="s">
        <v>36</v>
      </c>
      <c r="C2" t="s">
        <v>44</v>
      </c>
      <c r="D2" t="s">
        <v>47</v>
      </c>
      <c r="G2" s="1" t="s">
        <v>5</v>
      </c>
      <c r="H2" s="1" t="s">
        <v>3</v>
      </c>
      <c r="I2" s="2">
        <v>0.70833333333333337</v>
      </c>
      <c r="J2" s="2">
        <v>0.33333333333333331</v>
      </c>
    </row>
    <row r="3" spans="1:12" x14ac:dyDescent="0.25">
      <c r="A3" t="s">
        <v>35</v>
      </c>
      <c r="B3" t="s">
        <v>37</v>
      </c>
      <c r="C3" t="s">
        <v>45</v>
      </c>
      <c r="D3" t="s">
        <v>47</v>
      </c>
      <c r="G3" s="1" t="s">
        <v>6</v>
      </c>
      <c r="H3" s="1" t="s">
        <v>4</v>
      </c>
      <c r="I3" s="2">
        <v>0.72916666666666663</v>
      </c>
      <c r="J3" s="2">
        <v>0.35416666666666669</v>
      </c>
      <c r="L3" s="54"/>
    </row>
    <row r="4" spans="1:12" x14ac:dyDescent="0.25">
      <c r="A4" t="s">
        <v>48</v>
      </c>
      <c r="B4" t="s">
        <v>49</v>
      </c>
      <c r="C4" t="s">
        <v>20</v>
      </c>
      <c r="D4" t="s">
        <v>30</v>
      </c>
      <c r="G4" s="1" t="s">
        <v>7</v>
      </c>
      <c r="H4" s="1"/>
      <c r="I4" s="2">
        <v>0.75</v>
      </c>
      <c r="J4" s="2">
        <v>0.375</v>
      </c>
      <c r="L4" s="54"/>
    </row>
    <row r="5" spans="1:12" x14ac:dyDescent="0.25">
      <c r="A5" t="s">
        <v>51</v>
      </c>
      <c r="B5" t="s">
        <v>50</v>
      </c>
      <c r="C5" t="s">
        <v>21</v>
      </c>
      <c r="D5" t="s">
        <v>30</v>
      </c>
      <c r="G5" s="1"/>
      <c r="H5" s="1"/>
      <c r="I5" s="2">
        <v>0.77083333333333304</v>
      </c>
      <c r="J5" s="2">
        <v>0.39583333333333298</v>
      </c>
      <c r="L5" s="54"/>
    </row>
    <row r="6" spans="1:12" x14ac:dyDescent="0.25">
      <c r="A6" t="s">
        <v>52</v>
      </c>
      <c r="B6" t="s">
        <v>53</v>
      </c>
      <c r="C6" t="s">
        <v>22</v>
      </c>
      <c r="D6" t="s">
        <v>30</v>
      </c>
      <c r="G6" s="1"/>
      <c r="H6" s="1"/>
      <c r="I6" s="2">
        <v>0.79166666666666663</v>
      </c>
      <c r="J6" s="2">
        <v>0.41666666666666702</v>
      </c>
      <c r="L6" s="54"/>
    </row>
    <row r="7" spans="1:12" x14ac:dyDescent="0.25">
      <c r="A7" t="s">
        <v>54</v>
      </c>
      <c r="B7" t="s">
        <v>55</v>
      </c>
      <c r="C7" t="s">
        <v>23</v>
      </c>
      <c r="D7" t="s">
        <v>30</v>
      </c>
      <c r="G7" s="1"/>
      <c r="H7" s="1"/>
      <c r="I7" s="2">
        <v>0.8125</v>
      </c>
      <c r="J7" s="2">
        <v>0.4375</v>
      </c>
      <c r="L7" s="54"/>
    </row>
    <row r="8" spans="1:12" x14ac:dyDescent="0.25">
      <c r="A8" t="s">
        <v>56</v>
      </c>
      <c r="B8" t="s">
        <v>57</v>
      </c>
      <c r="C8" t="s">
        <v>24</v>
      </c>
      <c r="D8" t="s">
        <v>30</v>
      </c>
      <c r="G8" s="1"/>
      <c r="H8" s="1"/>
      <c r="I8" s="2">
        <v>0.83333333333333337</v>
      </c>
      <c r="J8" s="2">
        <v>0.70833333333333337</v>
      </c>
      <c r="L8" s="54"/>
    </row>
    <row r="9" spans="1:12" x14ac:dyDescent="0.25">
      <c r="A9" t="s">
        <v>58</v>
      </c>
      <c r="B9" t="s">
        <v>59</v>
      </c>
      <c r="C9" t="s">
        <v>25</v>
      </c>
      <c r="D9" t="s">
        <v>30</v>
      </c>
      <c r="G9" s="1"/>
      <c r="H9" s="1"/>
      <c r="I9" s="2">
        <v>0.85416666666666663</v>
      </c>
      <c r="J9" s="2">
        <v>0.72916666666666663</v>
      </c>
      <c r="L9" s="54"/>
    </row>
    <row r="10" spans="1:12" x14ac:dyDescent="0.25">
      <c r="G10" s="1"/>
      <c r="H10" s="1"/>
      <c r="I10" s="2"/>
      <c r="J10" s="2">
        <v>0.75</v>
      </c>
      <c r="L10" s="54"/>
    </row>
    <row r="11" spans="1:12" x14ac:dyDescent="0.25">
      <c r="J11" s="2">
        <v>0.77083333333333304</v>
      </c>
    </row>
    <row r="12" spans="1:12" x14ac:dyDescent="0.25">
      <c r="J12" s="2">
        <v>0.79166666666666663</v>
      </c>
    </row>
    <row r="13" spans="1:12" x14ac:dyDescent="0.25">
      <c r="J13" s="2">
        <v>0.8125</v>
      </c>
    </row>
    <row r="14" spans="1:12" x14ac:dyDescent="0.25">
      <c r="J14" s="2">
        <v>0.83333333333333337</v>
      </c>
    </row>
    <row r="15" spans="1:12" x14ac:dyDescent="0.25">
      <c r="J15" s="2">
        <v>0.85416666666666663</v>
      </c>
    </row>
    <row r="16" spans="1:12" x14ac:dyDescent="0.25">
      <c r="B16" s="51" t="s">
        <v>142</v>
      </c>
      <c r="C16" t="s">
        <v>144</v>
      </c>
    </row>
    <row r="17" spans="2:3" x14ac:dyDescent="0.25">
      <c r="B17" s="52" t="s">
        <v>7</v>
      </c>
      <c r="C17" s="66">
        <v>62</v>
      </c>
    </row>
    <row r="18" spans="2:3" x14ac:dyDescent="0.25">
      <c r="B18" s="53" t="s">
        <v>4</v>
      </c>
      <c r="C18" s="66">
        <v>62</v>
      </c>
    </row>
    <row r="19" spans="2:3" x14ac:dyDescent="0.25">
      <c r="B19" s="53" t="s">
        <v>3</v>
      </c>
      <c r="C19" s="66">
        <v>0</v>
      </c>
    </row>
    <row r="20" spans="2:3" x14ac:dyDescent="0.25">
      <c r="B20" s="52" t="s">
        <v>5</v>
      </c>
      <c r="C20" s="66">
        <v>167</v>
      </c>
    </row>
    <row r="21" spans="2:3" x14ac:dyDescent="0.25">
      <c r="B21" s="53" t="s">
        <v>4</v>
      </c>
      <c r="C21" s="66">
        <v>0</v>
      </c>
    </row>
    <row r="22" spans="2:3" x14ac:dyDescent="0.25">
      <c r="B22" s="53" t="s">
        <v>3</v>
      </c>
      <c r="C22" s="66">
        <v>167</v>
      </c>
    </row>
    <row r="23" spans="2:3" x14ac:dyDescent="0.25">
      <c r="B23" s="52" t="s">
        <v>6</v>
      </c>
      <c r="C23" s="66">
        <v>285</v>
      </c>
    </row>
    <row r="24" spans="2:3" x14ac:dyDescent="0.25">
      <c r="B24" s="53" t="s">
        <v>4</v>
      </c>
      <c r="C24" s="66">
        <v>131</v>
      </c>
    </row>
    <row r="25" spans="2:3" x14ac:dyDescent="0.25">
      <c r="B25" s="53" t="s">
        <v>3</v>
      </c>
      <c r="C25" s="66">
        <v>154</v>
      </c>
    </row>
    <row r="26" spans="2:3" x14ac:dyDescent="0.25">
      <c r="B26" s="52" t="s">
        <v>143</v>
      </c>
      <c r="C26" s="66">
        <v>514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U204"/>
  <sheetViews>
    <sheetView workbookViewId="0">
      <selection activeCell="S31" sqref="S31"/>
    </sheetView>
  </sheetViews>
  <sheetFormatPr defaultColWidth="5.85546875" defaultRowHeight="15" x14ac:dyDescent="0.25"/>
  <cols>
    <col min="1" max="1" width="5.7109375" style="6" customWidth="1"/>
    <col min="2" max="2" width="19.85546875" style="6" bestFit="1" customWidth="1"/>
    <col min="3" max="3" width="13.7109375" style="31" bestFit="1" customWidth="1"/>
    <col min="4" max="4" width="15.5703125" style="31" bestFit="1" customWidth="1"/>
    <col min="5" max="5" width="8.7109375" style="6" bestFit="1" customWidth="1"/>
    <col min="6" max="6" width="9" style="6" bestFit="1" customWidth="1"/>
    <col min="7" max="7" width="7.5703125" style="6" customWidth="1"/>
    <col min="8" max="8" width="5.85546875" style="6"/>
    <col min="9" max="9" width="10" style="31" bestFit="1" customWidth="1"/>
    <col min="10" max="10" width="8.7109375" style="6" bestFit="1" customWidth="1"/>
    <col min="11" max="11" width="9" style="6" bestFit="1" customWidth="1"/>
    <col min="12" max="12" width="15.42578125" style="31" bestFit="1" customWidth="1"/>
    <col min="13" max="13" width="5.85546875" style="6"/>
    <col min="14" max="14" width="8.7109375" style="6" bestFit="1" customWidth="1"/>
    <col min="15" max="15" width="7.140625" style="6" bestFit="1" customWidth="1"/>
    <col min="16" max="19" width="7.7109375" style="6" bestFit="1" customWidth="1"/>
    <col min="20" max="20" width="9" style="6" bestFit="1" customWidth="1"/>
    <col min="21" max="16384" width="5.85546875" style="6"/>
  </cols>
  <sheetData>
    <row r="1" spans="1:21" s="3" customFormat="1" ht="21" x14ac:dyDescent="0.35">
      <c r="A1" s="7" t="s">
        <v>15</v>
      </c>
      <c r="B1" s="8"/>
      <c r="C1" s="10"/>
      <c r="D1" s="10"/>
      <c r="E1" s="9"/>
      <c r="F1" s="10"/>
      <c r="G1" s="8"/>
      <c r="H1" s="8"/>
      <c r="I1" s="10"/>
      <c r="J1" s="8"/>
      <c r="K1" s="8"/>
      <c r="L1" s="8"/>
      <c r="M1" s="8"/>
      <c r="N1" s="10"/>
      <c r="O1" s="8"/>
      <c r="P1" s="8"/>
      <c r="Q1" s="8"/>
      <c r="R1" s="8"/>
      <c r="S1" s="11"/>
    </row>
    <row r="2" spans="1:21" s="3" customFormat="1" ht="21" x14ac:dyDescent="0.35">
      <c r="A2" s="12" t="s">
        <v>16</v>
      </c>
      <c r="B2" s="13"/>
      <c r="C2" s="25"/>
      <c r="D2" s="25"/>
      <c r="E2" s="14"/>
      <c r="F2" s="13"/>
      <c r="G2" s="13"/>
      <c r="H2" s="13"/>
      <c r="I2" s="25"/>
      <c r="J2" s="13"/>
      <c r="K2" s="13"/>
      <c r="L2" s="13"/>
      <c r="M2" s="13"/>
      <c r="N2" s="25"/>
      <c r="O2" s="13"/>
      <c r="P2" s="13"/>
      <c r="Q2" s="13"/>
      <c r="R2" s="13"/>
      <c r="S2" s="15"/>
    </row>
    <row r="3" spans="1:21" s="3" customFormat="1" ht="19.5" thickBot="1" x14ac:dyDescent="0.35">
      <c r="A3" s="16" t="s">
        <v>33</v>
      </c>
      <c r="B3" s="17"/>
      <c r="C3" s="26"/>
      <c r="D3" s="26"/>
      <c r="E3" s="18"/>
      <c r="F3" s="17"/>
      <c r="G3" s="17"/>
      <c r="H3" s="17"/>
      <c r="I3" s="26"/>
      <c r="J3" s="17"/>
      <c r="K3" s="17"/>
      <c r="L3" s="17"/>
      <c r="M3" s="17"/>
      <c r="N3" s="26"/>
      <c r="O3" s="17"/>
      <c r="P3" s="17"/>
      <c r="Q3" s="17"/>
      <c r="R3" s="17"/>
      <c r="S3" s="19"/>
    </row>
    <row r="4" spans="1:21" s="3" customFormat="1" x14ac:dyDescent="0.25">
      <c r="A4" s="5"/>
      <c r="C4" s="27"/>
      <c r="D4" s="27"/>
      <c r="E4" s="4"/>
      <c r="I4" s="27"/>
      <c r="L4" s="27"/>
    </row>
    <row r="5" spans="1:21" s="3" customFormat="1" x14ac:dyDescent="0.25">
      <c r="A5" s="5"/>
      <c r="B5" s="59" t="s">
        <v>60</v>
      </c>
      <c r="C5" s="60"/>
      <c r="D5" s="60"/>
      <c r="E5" s="60"/>
      <c r="F5" s="60"/>
      <c r="G5" s="60"/>
      <c r="I5" s="27"/>
      <c r="L5" s="27"/>
    </row>
    <row r="6" spans="1:21" s="3" customFormat="1" x14ac:dyDescent="0.25">
      <c r="A6" s="5"/>
      <c r="B6" s="23" t="s">
        <v>8</v>
      </c>
      <c r="C6" s="28" t="s">
        <v>17</v>
      </c>
      <c r="D6" s="28" t="s">
        <v>9</v>
      </c>
      <c r="E6" s="23" t="s">
        <v>2</v>
      </c>
      <c r="F6" s="23" t="s">
        <v>10</v>
      </c>
      <c r="G6" s="23" t="s">
        <v>42</v>
      </c>
      <c r="I6" s="27"/>
      <c r="L6" s="28" t="s">
        <v>61</v>
      </c>
    </row>
    <row r="7" spans="1:21" s="3" customFormat="1" x14ac:dyDescent="0.25">
      <c r="A7" s="5"/>
      <c r="B7" s="20"/>
      <c r="C7" s="29"/>
      <c r="D7" s="30"/>
      <c r="E7" s="20"/>
      <c r="F7" s="21"/>
      <c r="G7" s="21" t="s">
        <v>3</v>
      </c>
      <c r="H7" s="61" t="s">
        <v>145</v>
      </c>
      <c r="I7" s="62"/>
      <c r="L7" s="32">
        <f>SUMIFS($D$11:$D$120, $E$11:$E$120, E7, $F$11:$F$120, NewTime)</f>
        <v>0</v>
      </c>
    </row>
    <row r="8" spans="1:21" s="3" customFormat="1" x14ac:dyDescent="0.25">
      <c r="A8" s="5"/>
      <c r="I8" s="27"/>
      <c r="L8" s="27"/>
    </row>
    <row r="9" spans="1:21" s="3" customFormat="1" x14ac:dyDescent="0.25">
      <c r="A9" s="5"/>
      <c r="B9" s="58" t="s">
        <v>39</v>
      </c>
      <c r="C9" s="58"/>
      <c r="D9" s="58"/>
      <c r="E9" s="58"/>
      <c r="F9" s="58"/>
      <c r="I9" s="58" t="s">
        <v>38</v>
      </c>
      <c r="J9" s="58"/>
      <c r="K9" s="58"/>
      <c r="L9" s="58"/>
      <c r="N9" s="6"/>
      <c r="O9" s="6"/>
      <c r="P9" s="6"/>
      <c r="Q9" s="6"/>
      <c r="R9" s="6"/>
      <c r="S9" s="6"/>
    </row>
    <row r="10" spans="1:21" s="3" customFormat="1" x14ac:dyDescent="0.25">
      <c r="A10" s="5"/>
      <c r="B10" s="23" t="s">
        <v>8</v>
      </c>
      <c r="C10" s="28" t="s">
        <v>17</v>
      </c>
      <c r="D10" s="28" t="s">
        <v>9</v>
      </c>
      <c r="E10" s="23" t="s">
        <v>2</v>
      </c>
      <c r="F10" s="23" t="s">
        <v>10</v>
      </c>
      <c r="I10" s="28" t="s">
        <v>18</v>
      </c>
      <c r="J10" s="23" t="s">
        <v>2</v>
      </c>
      <c r="K10" s="23" t="s">
        <v>10</v>
      </c>
      <c r="L10" s="28" t="s">
        <v>19</v>
      </c>
      <c r="N10" s="6"/>
      <c r="O10" s="6"/>
      <c r="P10" s="6"/>
      <c r="Q10" s="6"/>
      <c r="R10" s="6"/>
      <c r="S10" s="6"/>
      <c r="U10" s="6"/>
    </row>
    <row r="11" spans="1:21" x14ac:dyDescent="0.25">
      <c r="B11" s="20" t="s">
        <v>72</v>
      </c>
      <c r="C11" s="29">
        <v>9669952054</v>
      </c>
      <c r="D11" s="30">
        <v>2</v>
      </c>
      <c r="E11" s="49" t="s">
        <v>5</v>
      </c>
      <c r="F11" s="21">
        <v>0.77083333333333337</v>
      </c>
      <c r="I11" s="33">
        <v>1</v>
      </c>
      <c r="J11" s="22" t="s">
        <v>5</v>
      </c>
      <c r="K11" s="50">
        <v>0.70833333333333337</v>
      </c>
      <c r="L11" s="32">
        <f>SUMIFS($D$11:$D$120, $E$11:$E$120, J11, $F$11:$F$120, K11)</f>
        <v>23</v>
      </c>
      <c r="T11" s="36"/>
    </row>
    <row r="12" spans="1:21" x14ac:dyDescent="0.25">
      <c r="B12" s="20" t="s">
        <v>73</v>
      </c>
      <c r="C12" s="29">
        <v>4232341591</v>
      </c>
      <c r="D12" s="30">
        <v>5</v>
      </c>
      <c r="E12" s="49" t="s">
        <v>7</v>
      </c>
      <c r="F12" s="21">
        <v>0.35416666666666669</v>
      </c>
      <c r="I12" s="33">
        <v>2</v>
      </c>
      <c r="J12" s="22" t="s">
        <v>5</v>
      </c>
      <c r="K12" s="50">
        <v>0.72916666666666663</v>
      </c>
      <c r="L12" s="32">
        <f t="shared" ref="L12:L38" si="0">SUMIFS($D$11:$D$120, $E$11:$E$120, J12, $F$11:$F$120, K12)</f>
        <v>23</v>
      </c>
      <c r="T12" s="36"/>
    </row>
    <row r="13" spans="1:21" x14ac:dyDescent="0.25">
      <c r="B13" s="20" t="s">
        <v>74</v>
      </c>
      <c r="C13" s="29">
        <v>4607996037</v>
      </c>
      <c r="D13" s="30">
        <v>2</v>
      </c>
      <c r="E13" s="49" t="s">
        <v>6</v>
      </c>
      <c r="F13" s="21">
        <v>0.4375</v>
      </c>
      <c r="I13" s="33">
        <v>3</v>
      </c>
      <c r="J13" s="22" t="s">
        <v>5</v>
      </c>
      <c r="K13" s="50">
        <v>0.75</v>
      </c>
      <c r="L13" s="32">
        <f t="shared" si="0"/>
        <v>20</v>
      </c>
      <c r="T13" s="36"/>
    </row>
    <row r="14" spans="1:21" x14ac:dyDescent="0.25">
      <c r="B14" s="20" t="s">
        <v>75</v>
      </c>
      <c r="C14" s="29">
        <v>7970442226</v>
      </c>
      <c r="D14" s="30">
        <v>2</v>
      </c>
      <c r="E14" s="49" t="s">
        <v>6</v>
      </c>
      <c r="F14" s="21">
        <v>0.77083333333333337</v>
      </c>
      <c r="I14" s="33">
        <v>4</v>
      </c>
      <c r="J14" s="22" t="s">
        <v>5</v>
      </c>
      <c r="K14" s="50">
        <v>0.77083333333333304</v>
      </c>
      <c r="L14" s="32">
        <f t="shared" si="0"/>
        <v>29</v>
      </c>
      <c r="T14" s="36"/>
    </row>
    <row r="15" spans="1:21" x14ac:dyDescent="0.25">
      <c r="B15" s="20" t="s">
        <v>76</v>
      </c>
      <c r="C15" s="29">
        <v>8070498480</v>
      </c>
      <c r="D15" s="30">
        <v>5</v>
      </c>
      <c r="E15" s="49" t="s">
        <v>5</v>
      </c>
      <c r="F15" s="21">
        <v>0.79166666666666663</v>
      </c>
      <c r="I15" s="33">
        <v>5</v>
      </c>
      <c r="J15" s="22" t="s">
        <v>5</v>
      </c>
      <c r="K15" s="50">
        <v>0.79166666666666663</v>
      </c>
      <c r="L15" s="32">
        <f t="shared" si="0"/>
        <v>20</v>
      </c>
      <c r="T15" s="36"/>
    </row>
    <row r="16" spans="1:21" x14ac:dyDescent="0.25">
      <c r="B16" s="20" t="s">
        <v>77</v>
      </c>
      <c r="C16" s="29">
        <v>7574227227</v>
      </c>
      <c r="D16" s="30">
        <v>2</v>
      </c>
      <c r="E16" s="49" t="s">
        <v>6</v>
      </c>
      <c r="F16" s="21">
        <v>0.70833333333333337</v>
      </c>
      <c r="I16" s="33">
        <v>6</v>
      </c>
      <c r="J16" s="22" t="s">
        <v>5</v>
      </c>
      <c r="K16" s="50">
        <v>0.8125</v>
      </c>
      <c r="L16" s="32">
        <f t="shared" si="0"/>
        <v>27</v>
      </c>
      <c r="T16" s="36"/>
    </row>
    <row r="17" spans="2:20" x14ac:dyDescent="0.25">
      <c r="B17" s="20" t="s">
        <v>78</v>
      </c>
      <c r="C17" s="29">
        <v>1268464276</v>
      </c>
      <c r="D17" s="30">
        <v>6</v>
      </c>
      <c r="E17" s="49" t="s">
        <v>6</v>
      </c>
      <c r="F17" s="21">
        <v>0.75</v>
      </c>
      <c r="I17" s="33">
        <v>7</v>
      </c>
      <c r="J17" s="22" t="s">
        <v>5</v>
      </c>
      <c r="K17" s="50">
        <v>0.83333333333333304</v>
      </c>
      <c r="L17" s="32">
        <f t="shared" si="0"/>
        <v>25</v>
      </c>
      <c r="T17" s="36"/>
    </row>
    <row r="18" spans="2:20" x14ac:dyDescent="0.25">
      <c r="B18" s="20" t="s">
        <v>79</v>
      </c>
      <c r="C18" s="29">
        <v>3604136806</v>
      </c>
      <c r="D18" s="30">
        <v>5</v>
      </c>
      <c r="E18" s="49" t="s">
        <v>5</v>
      </c>
      <c r="F18" s="21">
        <v>0.8125</v>
      </c>
      <c r="I18" s="33">
        <v>8</v>
      </c>
      <c r="J18" s="22" t="s">
        <v>5</v>
      </c>
      <c r="K18" s="50">
        <v>0.85416666666666663</v>
      </c>
      <c r="L18" s="32">
        <f t="shared" si="0"/>
        <v>0</v>
      </c>
      <c r="T18" s="36"/>
    </row>
    <row r="19" spans="2:20" x14ac:dyDescent="0.25">
      <c r="B19" s="20" t="s">
        <v>80</v>
      </c>
      <c r="C19" s="29">
        <v>8593508279</v>
      </c>
      <c r="D19" s="30">
        <v>2</v>
      </c>
      <c r="E19" s="49" t="s">
        <v>6</v>
      </c>
      <c r="F19" s="21">
        <v>0.4375</v>
      </c>
      <c r="I19" s="33">
        <v>9</v>
      </c>
      <c r="J19" s="22" t="s">
        <v>6</v>
      </c>
      <c r="K19" s="50">
        <v>0.33333333333333331</v>
      </c>
      <c r="L19" s="32">
        <f t="shared" si="0"/>
        <v>0</v>
      </c>
      <c r="T19" s="36"/>
    </row>
    <row r="20" spans="2:20" x14ac:dyDescent="0.25">
      <c r="B20" s="20" t="s">
        <v>81</v>
      </c>
      <c r="C20" s="29">
        <v>9502315717</v>
      </c>
      <c r="D20" s="30">
        <v>6</v>
      </c>
      <c r="E20" s="49" t="s">
        <v>6</v>
      </c>
      <c r="F20" s="21">
        <v>0.8125</v>
      </c>
      <c r="I20" s="33">
        <v>10</v>
      </c>
      <c r="J20" s="22" t="s">
        <v>6</v>
      </c>
      <c r="K20" s="50">
        <v>0.35416666666666669</v>
      </c>
      <c r="L20" s="32">
        <f t="shared" si="0"/>
        <v>20</v>
      </c>
      <c r="T20" s="36"/>
    </row>
    <row r="21" spans="2:20" x14ac:dyDescent="0.25">
      <c r="B21" s="20" t="s">
        <v>82</v>
      </c>
      <c r="C21" s="29">
        <v>6582313540</v>
      </c>
      <c r="D21" s="30">
        <v>5</v>
      </c>
      <c r="E21" s="49" t="s">
        <v>6</v>
      </c>
      <c r="F21" s="21">
        <v>0.39583333333333331</v>
      </c>
      <c r="I21" s="33">
        <v>11</v>
      </c>
      <c r="J21" s="22" t="s">
        <v>6</v>
      </c>
      <c r="K21" s="50">
        <v>0.375</v>
      </c>
      <c r="L21" s="32">
        <f t="shared" si="0"/>
        <v>27</v>
      </c>
      <c r="T21" s="36"/>
    </row>
    <row r="22" spans="2:20" x14ac:dyDescent="0.25">
      <c r="B22" s="20" t="s">
        <v>83</v>
      </c>
      <c r="C22" s="29">
        <v>9156830096</v>
      </c>
      <c r="D22" s="30">
        <v>8</v>
      </c>
      <c r="E22" s="49" t="s">
        <v>7</v>
      </c>
      <c r="F22" s="21">
        <v>0.35416666666666669</v>
      </c>
      <c r="I22" s="33">
        <v>12</v>
      </c>
      <c r="J22" s="22" t="s">
        <v>6</v>
      </c>
      <c r="K22" s="50">
        <v>0.39583333333333298</v>
      </c>
      <c r="L22" s="32">
        <f t="shared" si="0"/>
        <v>26</v>
      </c>
      <c r="T22" s="36"/>
    </row>
    <row r="23" spans="2:20" x14ac:dyDescent="0.25">
      <c r="B23" s="20" t="s">
        <v>84</v>
      </c>
      <c r="C23" s="29">
        <v>1370572320</v>
      </c>
      <c r="D23" s="30">
        <v>6</v>
      </c>
      <c r="E23" s="49" t="s">
        <v>5</v>
      </c>
      <c r="F23" s="21">
        <v>0.70833333333333337</v>
      </c>
      <c r="I23" s="33">
        <v>13</v>
      </c>
      <c r="J23" s="22" t="s">
        <v>6</v>
      </c>
      <c r="K23" s="50">
        <v>0.41666666666666702</v>
      </c>
      <c r="L23" s="32">
        <f t="shared" si="0"/>
        <v>30</v>
      </c>
      <c r="T23" s="36"/>
    </row>
    <row r="24" spans="2:20" x14ac:dyDescent="0.25">
      <c r="B24" s="20" t="s">
        <v>85</v>
      </c>
      <c r="C24" s="29">
        <v>9598372828</v>
      </c>
      <c r="D24" s="30">
        <v>6</v>
      </c>
      <c r="E24" s="49" t="s">
        <v>5</v>
      </c>
      <c r="F24" s="21">
        <v>0.77083333333333337</v>
      </c>
      <c r="I24" s="33">
        <v>14</v>
      </c>
      <c r="J24" s="22" t="s">
        <v>6</v>
      </c>
      <c r="K24" s="50">
        <v>0.4375</v>
      </c>
      <c r="L24" s="32">
        <f t="shared" si="0"/>
        <v>28</v>
      </c>
      <c r="T24" s="36"/>
    </row>
    <row r="25" spans="2:20" x14ac:dyDescent="0.25">
      <c r="B25" s="20" t="s">
        <v>81</v>
      </c>
      <c r="C25" s="29">
        <v>9117328364</v>
      </c>
      <c r="D25" s="30">
        <v>8</v>
      </c>
      <c r="E25" s="49" t="s">
        <v>6</v>
      </c>
      <c r="F25" s="21">
        <v>0.75</v>
      </c>
      <c r="I25" s="33">
        <v>15</v>
      </c>
      <c r="J25" s="22" t="s">
        <v>6</v>
      </c>
      <c r="K25" s="50">
        <v>0.70833333333333337</v>
      </c>
      <c r="L25" s="32">
        <f t="shared" si="0"/>
        <v>29</v>
      </c>
      <c r="T25" s="36"/>
    </row>
    <row r="26" spans="2:20" x14ac:dyDescent="0.25">
      <c r="B26" s="20" t="s">
        <v>86</v>
      </c>
      <c r="C26" s="29">
        <v>7535730420</v>
      </c>
      <c r="D26" s="30">
        <v>2</v>
      </c>
      <c r="E26" s="49" t="s">
        <v>6</v>
      </c>
      <c r="F26" s="21">
        <v>0.375</v>
      </c>
      <c r="I26" s="33">
        <v>16</v>
      </c>
      <c r="J26" s="22" t="s">
        <v>6</v>
      </c>
      <c r="K26" s="50">
        <v>0.72916666666666663</v>
      </c>
      <c r="L26" s="32">
        <f t="shared" si="0"/>
        <v>11</v>
      </c>
      <c r="T26" s="36"/>
    </row>
    <row r="27" spans="2:20" x14ac:dyDescent="0.25">
      <c r="B27" s="20" t="s">
        <v>87</v>
      </c>
      <c r="C27" s="29">
        <v>2640008168</v>
      </c>
      <c r="D27" s="30">
        <v>2</v>
      </c>
      <c r="E27" s="49" t="s">
        <v>6</v>
      </c>
      <c r="F27" s="21">
        <v>0.375</v>
      </c>
      <c r="I27" s="33">
        <v>17</v>
      </c>
      <c r="J27" s="22" t="s">
        <v>6</v>
      </c>
      <c r="K27" s="50">
        <v>0.75</v>
      </c>
      <c r="L27" s="32">
        <f t="shared" si="0"/>
        <v>19</v>
      </c>
      <c r="T27" s="36"/>
    </row>
    <row r="28" spans="2:20" x14ac:dyDescent="0.25">
      <c r="B28" s="20" t="s">
        <v>88</v>
      </c>
      <c r="C28" s="29">
        <v>6024945579</v>
      </c>
      <c r="D28" s="30">
        <v>8</v>
      </c>
      <c r="E28" s="49" t="s">
        <v>6</v>
      </c>
      <c r="F28" s="21">
        <v>0.8125</v>
      </c>
      <c r="I28" s="33">
        <v>18</v>
      </c>
      <c r="J28" s="22" t="s">
        <v>6</v>
      </c>
      <c r="K28" s="50">
        <v>0.77083333333333304</v>
      </c>
      <c r="L28" s="32">
        <f t="shared" si="0"/>
        <v>26</v>
      </c>
      <c r="T28" s="36"/>
    </row>
    <row r="29" spans="2:20" x14ac:dyDescent="0.25">
      <c r="B29" s="20" t="s">
        <v>81</v>
      </c>
      <c r="C29" s="29">
        <v>6777250795</v>
      </c>
      <c r="D29" s="30">
        <v>5</v>
      </c>
      <c r="E29" s="49" t="s">
        <v>6</v>
      </c>
      <c r="F29" s="21">
        <v>0.83333333333333337</v>
      </c>
      <c r="I29" s="33">
        <v>19</v>
      </c>
      <c r="J29" s="22" t="s">
        <v>6</v>
      </c>
      <c r="K29" s="50">
        <v>0.79166666666666663</v>
      </c>
      <c r="L29" s="32">
        <f t="shared" si="0"/>
        <v>30</v>
      </c>
      <c r="T29" s="36"/>
    </row>
    <row r="30" spans="2:20" x14ac:dyDescent="0.25">
      <c r="B30" s="20" t="s">
        <v>89</v>
      </c>
      <c r="C30" s="29">
        <v>3697185717</v>
      </c>
      <c r="D30" s="30">
        <v>5</v>
      </c>
      <c r="E30" s="49" t="s">
        <v>5</v>
      </c>
      <c r="F30" s="21">
        <v>0.77083333333333337</v>
      </c>
      <c r="I30" s="33">
        <v>20</v>
      </c>
      <c r="J30" s="22" t="s">
        <v>6</v>
      </c>
      <c r="K30" s="50">
        <v>0.8125</v>
      </c>
      <c r="L30" s="32">
        <f t="shared" si="0"/>
        <v>28</v>
      </c>
      <c r="T30" s="36"/>
    </row>
    <row r="31" spans="2:20" x14ac:dyDescent="0.25">
      <c r="B31" s="20" t="s">
        <v>90</v>
      </c>
      <c r="C31" s="29">
        <v>8144218972</v>
      </c>
      <c r="D31" s="30">
        <v>5</v>
      </c>
      <c r="E31" s="49" t="s">
        <v>7</v>
      </c>
      <c r="F31" s="21">
        <v>0.41666666666666669</v>
      </c>
      <c r="I31" s="33">
        <v>21</v>
      </c>
      <c r="J31" s="22" t="s">
        <v>6</v>
      </c>
      <c r="K31" s="50">
        <v>0.83333333333333304</v>
      </c>
      <c r="L31" s="32">
        <f t="shared" si="0"/>
        <v>5</v>
      </c>
      <c r="T31" s="36"/>
    </row>
    <row r="32" spans="2:20" x14ac:dyDescent="0.25">
      <c r="B32" s="20" t="s">
        <v>91</v>
      </c>
      <c r="C32" s="29">
        <v>5361773403</v>
      </c>
      <c r="D32" s="30">
        <v>6</v>
      </c>
      <c r="E32" s="49" t="s">
        <v>6</v>
      </c>
      <c r="F32" s="21">
        <v>0.72916666666666663</v>
      </c>
      <c r="I32" s="33">
        <v>22</v>
      </c>
      <c r="J32" s="22" t="s">
        <v>6</v>
      </c>
      <c r="K32" s="50">
        <v>0.85416666666666663</v>
      </c>
      <c r="L32" s="32">
        <f t="shared" si="0"/>
        <v>6</v>
      </c>
      <c r="T32" s="36"/>
    </row>
    <row r="33" spans="2:20" x14ac:dyDescent="0.25">
      <c r="B33" s="20" t="s">
        <v>73</v>
      </c>
      <c r="C33" s="29">
        <v>2225522585</v>
      </c>
      <c r="D33" s="30">
        <v>7</v>
      </c>
      <c r="E33" s="49" t="s">
        <v>6</v>
      </c>
      <c r="F33" s="21">
        <v>0.41666666666666669</v>
      </c>
      <c r="I33" s="33">
        <v>23</v>
      </c>
      <c r="J33" s="22" t="s">
        <v>7</v>
      </c>
      <c r="K33" s="50">
        <v>0.33333333333333331</v>
      </c>
      <c r="L33" s="32">
        <f t="shared" si="0"/>
        <v>0</v>
      </c>
      <c r="T33" s="36"/>
    </row>
    <row r="34" spans="2:20" x14ac:dyDescent="0.25">
      <c r="B34" s="20" t="s">
        <v>92</v>
      </c>
      <c r="C34" s="29">
        <v>4726601941</v>
      </c>
      <c r="D34" s="30">
        <v>6</v>
      </c>
      <c r="E34" s="49" t="s">
        <v>5</v>
      </c>
      <c r="F34" s="21">
        <v>0.83333333333333337</v>
      </c>
      <c r="I34" s="33">
        <v>24</v>
      </c>
      <c r="J34" s="22" t="s">
        <v>7</v>
      </c>
      <c r="K34" s="50">
        <v>0.35416666666666669</v>
      </c>
      <c r="L34" s="32">
        <f t="shared" si="0"/>
        <v>27</v>
      </c>
      <c r="T34" s="36"/>
    </row>
    <row r="35" spans="2:20" x14ac:dyDescent="0.25">
      <c r="B35" s="20" t="s">
        <v>93</v>
      </c>
      <c r="C35" s="29">
        <v>9176369687</v>
      </c>
      <c r="D35" s="30">
        <v>8</v>
      </c>
      <c r="E35" s="49" t="s">
        <v>5</v>
      </c>
      <c r="F35" s="21">
        <v>0.79166666666666663</v>
      </c>
      <c r="I35" s="33">
        <v>25</v>
      </c>
      <c r="J35" s="22" t="s">
        <v>7</v>
      </c>
      <c r="K35" s="50">
        <v>0.375</v>
      </c>
      <c r="L35" s="32">
        <f t="shared" si="0"/>
        <v>17</v>
      </c>
      <c r="T35" s="36"/>
    </row>
    <row r="36" spans="2:20" x14ac:dyDescent="0.25">
      <c r="B36" s="20" t="s">
        <v>94</v>
      </c>
      <c r="C36" s="29">
        <v>7103642546</v>
      </c>
      <c r="D36" s="30">
        <v>5</v>
      </c>
      <c r="E36" s="49" t="s">
        <v>6</v>
      </c>
      <c r="F36" s="21">
        <v>0.72916666666666663</v>
      </c>
      <c r="I36" s="33">
        <v>26</v>
      </c>
      <c r="J36" s="22" t="s">
        <v>7</v>
      </c>
      <c r="K36" s="50">
        <v>0.39583333333333298</v>
      </c>
      <c r="L36" s="32">
        <f t="shared" si="0"/>
        <v>8</v>
      </c>
      <c r="T36" s="36"/>
    </row>
    <row r="37" spans="2:20" x14ac:dyDescent="0.25">
      <c r="B37" s="20" t="s">
        <v>95</v>
      </c>
      <c r="C37" s="29">
        <v>3646847749</v>
      </c>
      <c r="D37" s="30">
        <v>5</v>
      </c>
      <c r="E37" s="49" t="s">
        <v>6</v>
      </c>
      <c r="F37" s="21">
        <v>0.75</v>
      </c>
      <c r="I37" s="33">
        <v>27</v>
      </c>
      <c r="J37" s="22" t="s">
        <v>7</v>
      </c>
      <c r="K37" s="50">
        <v>0.41666666666666702</v>
      </c>
      <c r="L37" s="32">
        <f t="shared" si="0"/>
        <v>5</v>
      </c>
      <c r="T37" s="36"/>
    </row>
    <row r="38" spans="2:20" x14ac:dyDescent="0.25">
      <c r="B38" s="20" t="s">
        <v>96</v>
      </c>
      <c r="C38" s="29">
        <v>4259982205</v>
      </c>
      <c r="D38" s="30">
        <v>5</v>
      </c>
      <c r="E38" s="49" t="s">
        <v>6</v>
      </c>
      <c r="F38" s="21">
        <v>0.77083333333333337</v>
      </c>
      <c r="I38" s="33">
        <v>28</v>
      </c>
      <c r="J38" s="22" t="s">
        <v>7</v>
      </c>
      <c r="K38" s="50">
        <v>0.4375</v>
      </c>
      <c r="L38" s="32">
        <f t="shared" si="0"/>
        <v>5</v>
      </c>
      <c r="T38" s="36"/>
    </row>
    <row r="39" spans="2:20" x14ac:dyDescent="0.25">
      <c r="B39" s="20" t="s">
        <v>97</v>
      </c>
      <c r="C39" s="29">
        <v>4229276927</v>
      </c>
      <c r="D39" s="30">
        <v>5</v>
      </c>
      <c r="E39" s="49" t="s">
        <v>5</v>
      </c>
      <c r="F39" s="21">
        <v>0.70833333333333337</v>
      </c>
      <c r="J39" s="31"/>
      <c r="K39" s="31"/>
    </row>
    <row r="40" spans="2:20" x14ac:dyDescent="0.25">
      <c r="B40" s="20" t="s">
        <v>89</v>
      </c>
      <c r="C40" s="29">
        <v>3505970676</v>
      </c>
      <c r="D40" s="30">
        <v>2</v>
      </c>
      <c r="E40" s="49" t="s">
        <v>6</v>
      </c>
      <c r="F40" s="21">
        <v>0.77083333333333337</v>
      </c>
      <c r="I40" s="48"/>
    </row>
    <row r="41" spans="2:20" x14ac:dyDescent="0.25">
      <c r="B41" s="20" t="s">
        <v>98</v>
      </c>
      <c r="C41" s="29">
        <v>8360386422</v>
      </c>
      <c r="D41" s="30">
        <v>2</v>
      </c>
      <c r="E41" s="49" t="s">
        <v>6</v>
      </c>
      <c r="F41" s="21">
        <v>0.70833333333333337</v>
      </c>
      <c r="I41" s="48"/>
    </row>
    <row r="42" spans="2:20" x14ac:dyDescent="0.25">
      <c r="B42" s="20" t="s">
        <v>99</v>
      </c>
      <c r="C42" s="29">
        <v>8683574830</v>
      </c>
      <c r="D42" s="30">
        <v>5</v>
      </c>
      <c r="E42" s="49" t="s">
        <v>5</v>
      </c>
      <c r="F42" s="21">
        <v>0.70833333333333337</v>
      </c>
      <c r="I42" s="48"/>
    </row>
    <row r="43" spans="2:20" x14ac:dyDescent="0.25">
      <c r="B43" s="20" t="s">
        <v>100</v>
      </c>
      <c r="C43" s="29">
        <v>7860930211</v>
      </c>
      <c r="D43" s="30">
        <v>2</v>
      </c>
      <c r="E43" s="49" t="s">
        <v>6</v>
      </c>
      <c r="F43" s="21">
        <v>0.70833333333333337</v>
      </c>
    </row>
    <row r="44" spans="2:20" x14ac:dyDescent="0.25">
      <c r="B44" s="20" t="s">
        <v>101</v>
      </c>
      <c r="C44" s="29">
        <v>4903719386</v>
      </c>
      <c r="D44" s="30">
        <v>2</v>
      </c>
      <c r="E44" s="49" t="s">
        <v>6</v>
      </c>
      <c r="F44" s="21">
        <v>0.4375</v>
      </c>
    </row>
    <row r="45" spans="2:20" x14ac:dyDescent="0.25">
      <c r="B45" s="20" t="s">
        <v>102</v>
      </c>
      <c r="C45" s="29">
        <v>8322028456</v>
      </c>
      <c r="D45" s="30">
        <v>2</v>
      </c>
      <c r="E45" s="49" t="s">
        <v>6</v>
      </c>
      <c r="F45" s="21">
        <v>0.79166666666666663</v>
      </c>
    </row>
    <row r="46" spans="2:20" x14ac:dyDescent="0.25">
      <c r="B46" s="20" t="s">
        <v>78</v>
      </c>
      <c r="C46" s="29">
        <v>8881136847</v>
      </c>
      <c r="D46" s="30">
        <v>2</v>
      </c>
      <c r="E46" s="49" t="s">
        <v>6</v>
      </c>
      <c r="F46" s="21">
        <v>0.375</v>
      </c>
    </row>
    <row r="47" spans="2:20" x14ac:dyDescent="0.25">
      <c r="B47" s="20" t="s">
        <v>103</v>
      </c>
      <c r="C47" s="29">
        <v>4908352974</v>
      </c>
      <c r="D47" s="30">
        <v>5</v>
      </c>
      <c r="E47" s="49" t="s">
        <v>5</v>
      </c>
      <c r="F47" s="21">
        <v>0.72916666666666663</v>
      </c>
    </row>
    <row r="48" spans="2:20" x14ac:dyDescent="0.25">
      <c r="B48" s="20" t="s">
        <v>104</v>
      </c>
      <c r="C48" s="29">
        <v>5132181528</v>
      </c>
      <c r="D48" s="30">
        <v>8</v>
      </c>
      <c r="E48" s="49" t="s">
        <v>5</v>
      </c>
      <c r="F48" s="21">
        <v>0.77083333333333337</v>
      </c>
    </row>
    <row r="49" spans="2:6" x14ac:dyDescent="0.25">
      <c r="B49" s="20" t="s">
        <v>105</v>
      </c>
      <c r="C49" s="29">
        <v>8353676049</v>
      </c>
      <c r="D49" s="30">
        <v>2</v>
      </c>
      <c r="E49" s="49" t="s">
        <v>6</v>
      </c>
      <c r="F49" s="21">
        <v>0.4375</v>
      </c>
    </row>
    <row r="50" spans="2:6" x14ac:dyDescent="0.25">
      <c r="B50" s="20" t="s">
        <v>106</v>
      </c>
      <c r="C50" s="29">
        <v>1454794150</v>
      </c>
      <c r="D50" s="30">
        <v>2</v>
      </c>
      <c r="E50" s="49" t="s">
        <v>6</v>
      </c>
      <c r="F50" s="21">
        <v>0.4375</v>
      </c>
    </row>
    <row r="51" spans="2:6" x14ac:dyDescent="0.25">
      <c r="B51" s="20" t="s">
        <v>107</v>
      </c>
      <c r="C51" s="29">
        <v>3241946501</v>
      </c>
      <c r="D51" s="30">
        <v>5</v>
      </c>
      <c r="E51" s="49" t="s">
        <v>5</v>
      </c>
      <c r="F51" s="21">
        <v>0.8125</v>
      </c>
    </row>
    <row r="52" spans="2:6" x14ac:dyDescent="0.25">
      <c r="B52" s="20" t="s">
        <v>108</v>
      </c>
      <c r="C52" s="29">
        <v>8462876194</v>
      </c>
      <c r="D52" s="30">
        <v>5</v>
      </c>
      <c r="E52" s="49" t="s">
        <v>5</v>
      </c>
      <c r="F52" s="21">
        <v>0.72916666666666663</v>
      </c>
    </row>
    <row r="53" spans="2:6" x14ac:dyDescent="0.25">
      <c r="B53" s="20" t="s">
        <v>109</v>
      </c>
      <c r="C53" s="29">
        <v>8171484936</v>
      </c>
      <c r="D53" s="30">
        <v>8</v>
      </c>
      <c r="E53" s="49" t="s">
        <v>6</v>
      </c>
      <c r="F53" s="21">
        <v>0.70833333333333337</v>
      </c>
    </row>
    <row r="54" spans="2:6" x14ac:dyDescent="0.25">
      <c r="B54" s="20" t="s">
        <v>110</v>
      </c>
      <c r="C54" s="29">
        <v>1713020767</v>
      </c>
      <c r="D54" s="30">
        <v>2</v>
      </c>
      <c r="E54" s="49" t="s">
        <v>6</v>
      </c>
      <c r="F54" s="21">
        <v>0.77083333333333337</v>
      </c>
    </row>
    <row r="55" spans="2:6" x14ac:dyDescent="0.25">
      <c r="B55" s="20" t="s">
        <v>95</v>
      </c>
      <c r="C55" s="29">
        <v>1476325260</v>
      </c>
      <c r="D55" s="30">
        <v>7</v>
      </c>
      <c r="E55" s="49" t="s">
        <v>7</v>
      </c>
      <c r="F55" s="21">
        <v>0.35416666666666669</v>
      </c>
    </row>
    <row r="56" spans="2:6" x14ac:dyDescent="0.25">
      <c r="B56" s="20" t="s">
        <v>111</v>
      </c>
      <c r="C56" s="29">
        <v>3728052694</v>
      </c>
      <c r="D56" s="30">
        <v>7</v>
      </c>
      <c r="E56" s="49" t="s">
        <v>6</v>
      </c>
      <c r="F56" s="21">
        <v>0.70833333333333337</v>
      </c>
    </row>
    <row r="57" spans="2:6" x14ac:dyDescent="0.25">
      <c r="B57" s="20" t="s">
        <v>73</v>
      </c>
      <c r="C57" s="29">
        <v>6178061186</v>
      </c>
      <c r="D57" s="30">
        <v>6</v>
      </c>
      <c r="E57" s="49" t="s">
        <v>7</v>
      </c>
      <c r="F57" s="21">
        <v>0.375</v>
      </c>
    </row>
    <row r="58" spans="2:6" x14ac:dyDescent="0.25">
      <c r="B58" s="20" t="s">
        <v>112</v>
      </c>
      <c r="C58" s="29">
        <v>1228281675</v>
      </c>
      <c r="D58" s="30">
        <v>2</v>
      </c>
      <c r="E58" s="49" t="s">
        <v>6</v>
      </c>
      <c r="F58" s="21">
        <v>0.79166666666666663</v>
      </c>
    </row>
    <row r="59" spans="2:6" x14ac:dyDescent="0.25">
      <c r="B59" s="20" t="s">
        <v>113</v>
      </c>
      <c r="C59" s="29">
        <v>3291522330</v>
      </c>
      <c r="D59" s="30">
        <v>6</v>
      </c>
      <c r="E59" s="49" t="s">
        <v>6</v>
      </c>
      <c r="F59" s="21">
        <v>0.85416666666666663</v>
      </c>
    </row>
    <row r="60" spans="2:6" x14ac:dyDescent="0.25">
      <c r="B60" s="20" t="s">
        <v>114</v>
      </c>
      <c r="C60" s="29">
        <v>3641231136</v>
      </c>
      <c r="D60" s="30">
        <v>7</v>
      </c>
      <c r="E60" s="49" t="s">
        <v>5</v>
      </c>
      <c r="F60" s="21">
        <v>0.72916666666666663</v>
      </c>
    </row>
    <row r="61" spans="2:6" x14ac:dyDescent="0.25">
      <c r="B61" s="20" t="s">
        <v>115</v>
      </c>
      <c r="C61" s="29">
        <v>8936084552</v>
      </c>
      <c r="D61" s="30">
        <v>2</v>
      </c>
      <c r="E61" s="49" t="s">
        <v>6</v>
      </c>
      <c r="F61" s="21">
        <v>0.39583333333333331</v>
      </c>
    </row>
    <row r="62" spans="2:6" x14ac:dyDescent="0.25">
      <c r="B62" s="20" t="s">
        <v>91</v>
      </c>
      <c r="C62" s="29">
        <v>7620256861</v>
      </c>
      <c r="D62" s="30">
        <v>2</v>
      </c>
      <c r="E62" s="49" t="s">
        <v>6</v>
      </c>
      <c r="F62" s="21">
        <v>0.4375</v>
      </c>
    </row>
    <row r="63" spans="2:6" x14ac:dyDescent="0.25">
      <c r="B63" s="20" t="s">
        <v>116</v>
      </c>
      <c r="C63" s="29">
        <v>6148438220</v>
      </c>
      <c r="D63" s="30">
        <v>8</v>
      </c>
      <c r="E63" s="49" t="s">
        <v>6</v>
      </c>
      <c r="F63" s="21">
        <v>0.375</v>
      </c>
    </row>
    <row r="64" spans="2:6" x14ac:dyDescent="0.25">
      <c r="B64" s="20" t="s">
        <v>117</v>
      </c>
      <c r="C64" s="29">
        <v>7843638269</v>
      </c>
      <c r="D64" s="30">
        <v>6</v>
      </c>
      <c r="E64" s="49" t="s">
        <v>6</v>
      </c>
      <c r="F64" s="21">
        <v>0.35416666666666669</v>
      </c>
    </row>
    <row r="65" spans="2:6" x14ac:dyDescent="0.25">
      <c r="B65" s="20" t="s">
        <v>118</v>
      </c>
      <c r="C65" s="29">
        <v>5134586840</v>
      </c>
      <c r="D65" s="30">
        <v>6</v>
      </c>
      <c r="E65" s="49" t="s">
        <v>5</v>
      </c>
      <c r="F65" s="21">
        <v>0.8125</v>
      </c>
    </row>
    <row r="66" spans="2:6" x14ac:dyDescent="0.25">
      <c r="B66" s="20" t="s">
        <v>95</v>
      </c>
      <c r="C66" s="29">
        <v>4075225841</v>
      </c>
      <c r="D66" s="30">
        <v>8</v>
      </c>
      <c r="E66" s="49" t="s">
        <v>7</v>
      </c>
      <c r="F66" s="21">
        <v>0.39583333333333331</v>
      </c>
    </row>
    <row r="67" spans="2:6" x14ac:dyDescent="0.25">
      <c r="B67" s="20" t="s">
        <v>119</v>
      </c>
      <c r="C67" s="29">
        <v>6769260323</v>
      </c>
      <c r="D67" s="30">
        <v>7</v>
      </c>
      <c r="E67" s="49" t="s">
        <v>7</v>
      </c>
      <c r="F67" s="21">
        <v>0.35416666666666669</v>
      </c>
    </row>
    <row r="68" spans="2:6" x14ac:dyDescent="0.25">
      <c r="B68" s="20" t="s">
        <v>118</v>
      </c>
      <c r="C68" s="29">
        <v>1579544946</v>
      </c>
      <c r="D68" s="30">
        <v>8</v>
      </c>
      <c r="E68" s="49" t="s">
        <v>5</v>
      </c>
      <c r="F68" s="21">
        <v>0.75</v>
      </c>
    </row>
    <row r="69" spans="2:6" x14ac:dyDescent="0.25">
      <c r="B69" s="20" t="s">
        <v>77</v>
      </c>
      <c r="C69" s="29">
        <v>2343893806</v>
      </c>
      <c r="D69" s="30">
        <v>2</v>
      </c>
      <c r="E69" s="49" t="s">
        <v>6</v>
      </c>
      <c r="F69" s="21">
        <v>0.77083333333333337</v>
      </c>
    </row>
    <row r="70" spans="2:6" x14ac:dyDescent="0.25">
      <c r="B70" s="20" t="s">
        <v>99</v>
      </c>
      <c r="C70" s="29">
        <v>7961651272</v>
      </c>
      <c r="D70" s="30">
        <v>5</v>
      </c>
      <c r="E70" s="49" t="s">
        <v>5</v>
      </c>
      <c r="F70" s="21">
        <v>0.75</v>
      </c>
    </row>
    <row r="71" spans="2:6" x14ac:dyDescent="0.25">
      <c r="B71" s="20" t="s">
        <v>100</v>
      </c>
      <c r="C71" s="29">
        <v>5947750307</v>
      </c>
      <c r="D71" s="30">
        <v>8</v>
      </c>
      <c r="E71" s="49" t="s">
        <v>6</v>
      </c>
      <c r="F71" s="21">
        <v>0.4375</v>
      </c>
    </row>
    <row r="72" spans="2:6" x14ac:dyDescent="0.25">
      <c r="B72" s="20" t="s">
        <v>120</v>
      </c>
      <c r="C72" s="29">
        <v>4237321068</v>
      </c>
      <c r="D72" s="30">
        <v>6</v>
      </c>
      <c r="E72" s="49" t="s">
        <v>6</v>
      </c>
      <c r="F72" s="21">
        <v>0.77083333333333337</v>
      </c>
    </row>
    <row r="73" spans="2:6" x14ac:dyDescent="0.25">
      <c r="B73" s="20" t="s">
        <v>121</v>
      </c>
      <c r="C73" s="29">
        <v>7217963445</v>
      </c>
      <c r="D73" s="30">
        <v>7</v>
      </c>
      <c r="E73" s="49" t="s">
        <v>6</v>
      </c>
      <c r="F73" s="21">
        <v>0.41666666666666669</v>
      </c>
    </row>
    <row r="74" spans="2:6" x14ac:dyDescent="0.25">
      <c r="B74" s="20" t="s">
        <v>118</v>
      </c>
      <c r="C74" s="29">
        <v>2643413998</v>
      </c>
      <c r="D74" s="30">
        <v>6</v>
      </c>
      <c r="E74" s="49" t="s">
        <v>7</v>
      </c>
      <c r="F74" s="21">
        <v>0.375</v>
      </c>
    </row>
    <row r="75" spans="2:6" x14ac:dyDescent="0.25">
      <c r="B75" s="20" t="s">
        <v>78</v>
      </c>
      <c r="C75" s="29">
        <v>8645296011</v>
      </c>
      <c r="D75" s="30">
        <v>7</v>
      </c>
      <c r="E75" s="49" t="s">
        <v>6</v>
      </c>
      <c r="F75" s="21">
        <v>0.375</v>
      </c>
    </row>
    <row r="76" spans="2:6" x14ac:dyDescent="0.25">
      <c r="B76" s="20" t="s">
        <v>94</v>
      </c>
      <c r="C76" s="29">
        <v>7580110563</v>
      </c>
      <c r="D76" s="30">
        <v>7</v>
      </c>
      <c r="E76" s="49" t="s">
        <v>6</v>
      </c>
      <c r="F76" s="21">
        <v>0.77083333333333337</v>
      </c>
    </row>
    <row r="77" spans="2:6" x14ac:dyDescent="0.25">
      <c r="B77" s="20" t="s">
        <v>98</v>
      </c>
      <c r="C77" s="29">
        <v>3657880650</v>
      </c>
      <c r="D77" s="30">
        <v>8</v>
      </c>
      <c r="E77" s="49" t="s">
        <v>6</v>
      </c>
      <c r="F77" s="21">
        <v>0.41666666666666669</v>
      </c>
    </row>
    <row r="78" spans="2:6" x14ac:dyDescent="0.25">
      <c r="B78" s="20" t="s">
        <v>122</v>
      </c>
      <c r="C78" s="29">
        <v>5545147098</v>
      </c>
      <c r="D78" s="30">
        <v>7</v>
      </c>
      <c r="E78" s="49" t="s">
        <v>6</v>
      </c>
      <c r="F78" s="21">
        <v>0.8125</v>
      </c>
    </row>
    <row r="79" spans="2:6" x14ac:dyDescent="0.25">
      <c r="B79" s="20" t="s">
        <v>123</v>
      </c>
      <c r="C79" s="29">
        <v>5716730170</v>
      </c>
      <c r="D79" s="30">
        <v>5</v>
      </c>
      <c r="E79" s="49" t="s">
        <v>7</v>
      </c>
      <c r="F79" s="21">
        <v>0.375</v>
      </c>
    </row>
    <row r="80" spans="2:6" x14ac:dyDescent="0.25">
      <c r="B80" s="20" t="s">
        <v>124</v>
      </c>
      <c r="C80" s="29">
        <v>9637782660</v>
      </c>
      <c r="D80" s="30">
        <v>8</v>
      </c>
      <c r="E80" s="49" t="s">
        <v>6</v>
      </c>
      <c r="F80" s="21">
        <v>0.70833333333333337</v>
      </c>
    </row>
    <row r="81" spans="2:6" x14ac:dyDescent="0.25">
      <c r="B81" s="20" t="s">
        <v>125</v>
      </c>
      <c r="C81" s="29">
        <v>2249197841</v>
      </c>
      <c r="D81" s="30">
        <v>7</v>
      </c>
      <c r="E81" s="49" t="s">
        <v>5</v>
      </c>
      <c r="F81" s="21">
        <v>0.70833333333333337</v>
      </c>
    </row>
    <row r="82" spans="2:6" x14ac:dyDescent="0.25">
      <c r="B82" s="20" t="s">
        <v>78</v>
      </c>
      <c r="C82" s="29">
        <v>2737803104</v>
      </c>
      <c r="D82" s="30">
        <v>6</v>
      </c>
      <c r="E82" s="49" t="s">
        <v>6</v>
      </c>
      <c r="F82" s="21">
        <v>0.35416666666666669</v>
      </c>
    </row>
    <row r="83" spans="2:6" x14ac:dyDescent="0.25">
      <c r="B83" s="20" t="s">
        <v>126</v>
      </c>
      <c r="C83" s="29">
        <v>7767994091</v>
      </c>
      <c r="D83" s="30">
        <v>8</v>
      </c>
      <c r="E83" s="49" t="s">
        <v>5</v>
      </c>
      <c r="F83" s="21">
        <v>0.83333333333333337</v>
      </c>
    </row>
    <row r="84" spans="2:6" x14ac:dyDescent="0.25">
      <c r="B84" s="20" t="s">
        <v>127</v>
      </c>
      <c r="C84" s="29">
        <v>3457063150</v>
      </c>
      <c r="D84" s="30">
        <v>6</v>
      </c>
      <c r="E84" s="49" t="s">
        <v>6</v>
      </c>
      <c r="F84" s="21">
        <v>0.375</v>
      </c>
    </row>
    <row r="85" spans="2:6" x14ac:dyDescent="0.25">
      <c r="B85" s="20" t="s">
        <v>128</v>
      </c>
      <c r="C85" s="29">
        <v>4365546974</v>
      </c>
      <c r="D85" s="30">
        <v>6</v>
      </c>
      <c r="E85" s="49" t="s">
        <v>6</v>
      </c>
      <c r="F85" s="21">
        <v>0.39583333333333331</v>
      </c>
    </row>
    <row r="86" spans="2:6" x14ac:dyDescent="0.25">
      <c r="B86" s="20" t="s">
        <v>129</v>
      </c>
      <c r="C86" s="29">
        <v>4966891432</v>
      </c>
      <c r="D86" s="30">
        <v>5</v>
      </c>
      <c r="E86" s="49" t="s">
        <v>6</v>
      </c>
      <c r="F86" s="21">
        <v>0.79166666666666663</v>
      </c>
    </row>
    <row r="87" spans="2:6" x14ac:dyDescent="0.25">
      <c r="B87" s="20" t="s">
        <v>86</v>
      </c>
      <c r="C87" s="29">
        <v>8041139081</v>
      </c>
      <c r="D87" s="30">
        <v>8</v>
      </c>
      <c r="E87" s="49" t="s">
        <v>6</v>
      </c>
      <c r="F87" s="21">
        <v>0.4375</v>
      </c>
    </row>
    <row r="88" spans="2:6" x14ac:dyDescent="0.25">
      <c r="B88" s="20" t="s">
        <v>83</v>
      </c>
      <c r="C88" s="29">
        <v>3700210978</v>
      </c>
      <c r="D88" s="30">
        <v>8</v>
      </c>
      <c r="E88" s="49" t="s">
        <v>6</v>
      </c>
      <c r="F88" s="21">
        <v>0.35416666666666669</v>
      </c>
    </row>
    <row r="89" spans="2:6" x14ac:dyDescent="0.25">
      <c r="B89" s="20" t="s">
        <v>125</v>
      </c>
      <c r="C89" s="29">
        <v>9206486141</v>
      </c>
      <c r="D89" s="30">
        <v>7</v>
      </c>
      <c r="E89" s="49" t="s">
        <v>6</v>
      </c>
      <c r="F89" s="21">
        <v>0.8125</v>
      </c>
    </row>
    <row r="90" spans="2:6" x14ac:dyDescent="0.25">
      <c r="B90" s="20" t="s">
        <v>130</v>
      </c>
      <c r="C90" s="29">
        <v>8616489110</v>
      </c>
      <c r="D90" s="30">
        <v>6</v>
      </c>
      <c r="E90" s="49" t="s">
        <v>5</v>
      </c>
      <c r="F90" s="21">
        <v>0.83333333333333337</v>
      </c>
    </row>
    <row r="91" spans="2:6" x14ac:dyDescent="0.25">
      <c r="B91" s="20" t="s">
        <v>131</v>
      </c>
      <c r="C91" s="29">
        <v>8996411814</v>
      </c>
      <c r="D91" s="30">
        <v>5</v>
      </c>
      <c r="E91" s="49" t="s">
        <v>6</v>
      </c>
      <c r="F91" s="21">
        <v>0.39583333333333331</v>
      </c>
    </row>
    <row r="92" spans="2:6" x14ac:dyDescent="0.25">
      <c r="B92" s="20" t="s">
        <v>107</v>
      </c>
      <c r="C92" s="29">
        <v>7891681464</v>
      </c>
      <c r="D92" s="30">
        <v>5</v>
      </c>
      <c r="E92" s="49" t="s">
        <v>7</v>
      </c>
      <c r="F92" s="21">
        <v>0.4375</v>
      </c>
    </row>
    <row r="93" spans="2:6" x14ac:dyDescent="0.25">
      <c r="B93" s="20" t="s">
        <v>132</v>
      </c>
      <c r="C93" s="29">
        <v>5708116613</v>
      </c>
      <c r="D93" s="30">
        <v>6</v>
      </c>
      <c r="E93" s="49" t="s">
        <v>5</v>
      </c>
      <c r="F93" s="21">
        <v>0.72916666666666663</v>
      </c>
    </row>
    <row r="94" spans="2:6" x14ac:dyDescent="0.25">
      <c r="B94" s="20" t="s">
        <v>84</v>
      </c>
      <c r="C94" s="29">
        <v>7040619252</v>
      </c>
      <c r="D94" s="30">
        <v>8</v>
      </c>
      <c r="E94" s="49" t="s">
        <v>6</v>
      </c>
      <c r="F94" s="21">
        <v>0.41666666666666669</v>
      </c>
    </row>
    <row r="95" spans="2:6" x14ac:dyDescent="0.25">
      <c r="B95" s="20" t="s">
        <v>133</v>
      </c>
      <c r="C95" s="29">
        <v>8668732900</v>
      </c>
      <c r="D95" s="30">
        <v>8</v>
      </c>
      <c r="E95" s="49" t="s">
        <v>6</v>
      </c>
      <c r="F95" s="21">
        <v>0.79166666666666663</v>
      </c>
    </row>
    <row r="96" spans="2:6" x14ac:dyDescent="0.25">
      <c r="B96" s="20" t="s">
        <v>117</v>
      </c>
      <c r="C96" s="29">
        <v>5468894483</v>
      </c>
      <c r="D96" s="30">
        <v>7</v>
      </c>
      <c r="E96" s="49" t="s">
        <v>5</v>
      </c>
      <c r="F96" s="21">
        <v>0.79166666666666663</v>
      </c>
    </row>
    <row r="97" spans="2:7" x14ac:dyDescent="0.25">
      <c r="B97" s="20" t="s">
        <v>134</v>
      </c>
      <c r="C97" s="29">
        <v>2502817888</v>
      </c>
      <c r="D97" s="30">
        <v>8</v>
      </c>
      <c r="E97" s="49" t="s">
        <v>6</v>
      </c>
      <c r="F97" s="21">
        <v>0.79166666666666663</v>
      </c>
    </row>
    <row r="98" spans="2:7" x14ac:dyDescent="0.25">
      <c r="B98" s="20" t="s">
        <v>135</v>
      </c>
      <c r="C98" s="29">
        <v>8160398606</v>
      </c>
      <c r="D98" s="30">
        <v>8</v>
      </c>
      <c r="E98" s="49" t="s">
        <v>6</v>
      </c>
      <c r="F98" s="21">
        <v>0.39583333333333331</v>
      </c>
    </row>
    <row r="99" spans="2:7" x14ac:dyDescent="0.25">
      <c r="B99" s="20" t="s">
        <v>106</v>
      </c>
      <c r="C99" s="29">
        <v>5983966311</v>
      </c>
      <c r="D99" s="30">
        <v>5</v>
      </c>
      <c r="E99" s="49" t="s">
        <v>5</v>
      </c>
      <c r="F99" s="21">
        <v>0.8125</v>
      </c>
    </row>
    <row r="100" spans="2:7" x14ac:dyDescent="0.25">
      <c r="B100" s="20" t="s">
        <v>85</v>
      </c>
      <c r="C100" s="29">
        <v>1815755782</v>
      </c>
      <c r="D100" s="30">
        <v>6</v>
      </c>
      <c r="E100" s="49" t="s">
        <v>5</v>
      </c>
      <c r="F100" s="21">
        <v>0.8125</v>
      </c>
    </row>
    <row r="101" spans="2:7" x14ac:dyDescent="0.25">
      <c r="B101" s="20" t="s">
        <v>136</v>
      </c>
      <c r="C101" s="29">
        <v>6959828157</v>
      </c>
      <c r="D101" s="30">
        <v>5</v>
      </c>
      <c r="E101" s="49" t="s">
        <v>6</v>
      </c>
      <c r="F101" s="21">
        <v>0.79166666666666663</v>
      </c>
    </row>
    <row r="102" spans="2:7" x14ac:dyDescent="0.25">
      <c r="B102" s="20" t="s">
        <v>137</v>
      </c>
      <c r="C102" s="29">
        <v>6728490031</v>
      </c>
      <c r="D102" s="30">
        <v>7</v>
      </c>
      <c r="E102" s="49" t="s">
        <v>5</v>
      </c>
      <c r="F102" s="21">
        <v>0.75</v>
      </c>
    </row>
    <row r="103" spans="2:7" x14ac:dyDescent="0.25">
      <c r="B103" s="20" t="s">
        <v>138</v>
      </c>
      <c r="C103" s="29">
        <v>4512403254</v>
      </c>
      <c r="D103" s="30">
        <v>5</v>
      </c>
      <c r="E103" s="49" t="s">
        <v>5</v>
      </c>
      <c r="F103" s="21">
        <v>0.83333333333333337</v>
      </c>
    </row>
    <row r="104" spans="2:7" x14ac:dyDescent="0.25">
      <c r="B104" s="20" t="s">
        <v>116</v>
      </c>
      <c r="C104" s="29">
        <v>8319945383</v>
      </c>
      <c r="D104" s="30">
        <v>8</v>
      </c>
      <c r="E104" s="49" t="s">
        <v>5</v>
      </c>
      <c r="F104" s="21">
        <v>0.77083333333333337</v>
      </c>
    </row>
    <row r="105" spans="2:7" x14ac:dyDescent="0.25">
      <c r="B105" s="20"/>
      <c r="C105" s="29"/>
      <c r="D105" s="30"/>
      <c r="E105" s="49"/>
      <c r="F105" s="21"/>
      <c r="G105" s="36"/>
    </row>
    <row r="106" spans="2:7" x14ac:dyDescent="0.25">
      <c r="B106" s="20"/>
      <c r="C106" s="29"/>
      <c r="D106" s="30"/>
      <c r="E106" s="20"/>
      <c r="F106" s="21"/>
      <c r="G106" s="36"/>
    </row>
    <row r="107" spans="2:7" x14ac:dyDescent="0.25">
      <c r="B107" s="20"/>
      <c r="C107" s="29"/>
      <c r="D107" s="30"/>
      <c r="E107" s="20"/>
      <c r="F107" s="21"/>
    </row>
    <row r="108" spans="2:7" x14ac:dyDescent="0.25">
      <c r="B108" s="20"/>
      <c r="C108" s="29"/>
      <c r="D108" s="30"/>
      <c r="E108" s="20"/>
      <c r="F108" s="21"/>
    </row>
    <row r="109" spans="2:7" x14ac:dyDescent="0.25">
      <c r="B109" s="20"/>
      <c r="C109" s="29"/>
      <c r="D109" s="30"/>
      <c r="E109" s="20"/>
      <c r="F109" s="21"/>
    </row>
    <row r="110" spans="2:7" x14ac:dyDescent="0.25">
      <c r="B110" s="20"/>
      <c r="C110" s="29"/>
      <c r="D110" s="30"/>
      <c r="E110" s="20"/>
      <c r="F110" s="21"/>
    </row>
    <row r="111" spans="2:7" x14ac:dyDescent="0.25">
      <c r="B111" s="20"/>
      <c r="C111" s="29"/>
      <c r="D111" s="30"/>
      <c r="E111" s="20"/>
      <c r="F111" s="21"/>
    </row>
    <row r="112" spans="2:7" x14ac:dyDescent="0.25">
      <c r="B112" s="20"/>
      <c r="C112" s="29"/>
      <c r="D112" s="30"/>
      <c r="E112" s="20"/>
      <c r="F112" s="21"/>
    </row>
    <row r="113" spans="2:6" x14ac:dyDescent="0.25">
      <c r="B113" s="20"/>
      <c r="C113" s="29"/>
      <c r="D113" s="30"/>
      <c r="E113" s="20"/>
      <c r="F113" s="21"/>
    </row>
    <row r="114" spans="2:6" x14ac:dyDescent="0.25">
      <c r="B114" s="20"/>
      <c r="C114" s="29"/>
      <c r="D114" s="30"/>
      <c r="E114" s="20"/>
      <c r="F114" s="21"/>
    </row>
    <row r="115" spans="2:6" x14ac:dyDescent="0.25">
      <c r="B115" s="20"/>
      <c r="C115" s="29"/>
      <c r="D115" s="30"/>
      <c r="E115" s="20"/>
      <c r="F115" s="21"/>
    </row>
    <row r="116" spans="2:6" x14ac:dyDescent="0.25">
      <c r="B116" s="20"/>
      <c r="C116" s="29"/>
      <c r="D116" s="30"/>
      <c r="E116" s="20"/>
      <c r="F116" s="21"/>
    </row>
    <row r="117" spans="2:6" x14ac:dyDescent="0.25">
      <c r="B117" s="20"/>
      <c r="C117" s="29"/>
      <c r="D117" s="30"/>
      <c r="E117" s="20"/>
      <c r="F117" s="21"/>
    </row>
    <row r="118" spans="2:6" x14ac:dyDescent="0.25">
      <c r="B118" s="20"/>
      <c r="C118" s="29"/>
      <c r="D118" s="30"/>
      <c r="E118" s="20"/>
      <c r="F118" s="21"/>
    </row>
    <row r="119" spans="2:6" x14ac:dyDescent="0.25">
      <c r="B119" s="20"/>
      <c r="C119" s="29"/>
      <c r="D119" s="30"/>
      <c r="E119" s="20"/>
      <c r="F119" s="21"/>
    </row>
    <row r="120" spans="2:6" x14ac:dyDescent="0.25">
      <c r="B120" s="20"/>
      <c r="C120" s="29"/>
      <c r="D120" s="30"/>
      <c r="E120" s="20"/>
      <c r="F120" s="21"/>
    </row>
    <row r="121" spans="2:6" x14ac:dyDescent="0.25">
      <c r="B121" s="20"/>
      <c r="C121" s="29"/>
      <c r="D121" s="30"/>
      <c r="E121" s="20"/>
      <c r="F121" s="21"/>
    </row>
    <row r="122" spans="2:6" x14ac:dyDescent="0.25">
      <c r="B122" s="20"/>
      <c r="C122" s="29"/>
      <c r="D122" s="30"/>
      <c r="E122" s="20"/>
      <c r="F122" s="21"/>
    </row>
    <row r="123" spans="2:6" x14ac:dyDescent="0.25">
      <c r="B123" s="20"/>
      <c r="C123" s="29"/>
      <c r="D123" s="30"/>
      <c r="E123" s="20"/>
      <c r="F123" s="21"/>
    </row>
    <row r="124" spans="2:6" x14ac:dyDescent="0.25">
      <c r="B124" s="20"/>
      <c r="C124" s="29"/>
      <c r="D124" s="30"/>
      <c r="E124" s="20"/>
      <c r="F124" s="21"/>
    </row>
    <row r="125" spans="2:6" x14ac:dyDescent="0.25">
      <c r="B125" s="20"/>
      <c r="C125" s="29"/>
      <c r="D125" s="30"/>
      <c r="E125" s="20"/>
      <c r="F125" s="21"/>
    </row>
    <row r="126" spans="2:6" x14ac:dyDescent="0.25">
      <c r="B126" s="20"/>
      <c r="C126" s="29"/>
      <c r="D126" s="30"/>
      <c r="E126" s="20"/>
      <c r="F126" s="21"/>
    </row>
    <row r="127" spans="2:6" x14ac:dyDescent="0.25">
      <c r="B127" s="20"/>
      <c r="C127" s="29"/>
      <c r="D127" s="30"/>
      <c r="E127" s="20"/>
      <c r="F127" s="21"/>
    </row>
    <row r="128" spans="2:6" x14ac:dyDescent="0.25">
      <c r="B128" s="20"/>
      <c r="C128" s="29"/>
      <c r="D128" s="30"/>
      <c r="E128" s="20"/>
      <c r="F128" s="21"/>
    </row>
    <row r="129" spans="2:6" x14ac:dyDescent="0.25">
      <c r="B129" s="20"/>
      <c r="C129" s="29"/>
      <c r="D129" s="30"/>
      <c r="E129" s="20"/>
      <c r="F129" s="21"/>
    </row>
    <row r="130" spans="2:6" x14ac:dyDescent="0.25">
      <c r="B130" s="20"/>
      <c r="C130" s="29"/>
      <c r="D130" s="30"/>
      <c r="E130" s="20"/>
      <c r="F130" s="21"/>
    </row>
    <row r="131" spans="2:6" x14ac:dyDescent="0.25">
      <c r="B131" s="20"/>
      <c r="C131" s="29"/>
      <c r="D131" s="30"/>
      <c r="E131" s="20"/>
      <c r="F131" s="21"/>
    </row>
    <row r="132" spans="2:6" x14ac:dyDescent="0.25">
      <c r="B132" s="20"/>
      <c r="C132" s="29"/>
      <c r="D132" s="30"/>
      <c r="E132" s="20"/>
      <c r="F132" s="21"/>
    </row>
    <row r="133" spans="2:6" x14ac:dyDescent="0.25">
      <c r="B133" s="20"/>
      <c r="C133" s="29"/>
      <c r="D133" s="30"/>
      <c r="E133" s="20"/>
      <c r="F133" s="21"/>
    </row>
    <row r="134" spans="2:6" x14ac:dyDescent="0.25">
      <c r="B134" s="20"/>
      <c r="C134" s="29"/>
      <c r="D134" s="30"/>
      <c r="E134" s="20"/>
      <c r="F134" s="21"/>
    </row>
    <row r="135" spans="2:6" x14ac:dyDescent="0.25">
      <c r="B135" s="20"/>
      <c r="C135" s="29"/>
      <c r="D135" s="30"/>
      <c r="E135" s="20"/>
      <c r="F135" s="21"/>
    </row>
    <row r="136" spans="2:6" x14ac:dyDescent="0.25">
      <c r="B136" s="20"/>
      <c r="C136" s="29"/>
      <c r="D136" s="30"/>
      <c r="E136" s="20"/>
      <c r="F136" s="21"/>
    </row>
    <row r="137" spans="2:6" x14ac:dyDescent="0.25">
      <c r="B137" s="20"/>
      <c r="C137" s="29"/>
      <c r="D137" s="30"/>
      <c r="E137" s="20"/>
      <c r="F137" s="21"/>
    </row>
    <row r="138" spans="2:6" x14ac:dyDescent="0.25">
      <c r="B138" s="20"/>
      <c r="C138" s="29"/>
      <c r="D138" s="30"/>
      <c r="E138" s="20"/>
      <c r="F138" s="21"/>
    </row>
    <row r="139" spans="2:6" x14ac:dyDescent="0.25">
      <c r="B139" s="20"/>
      <c r="C139" s="29"/>
      <c r="D139" s="30"/>
      <c r="E139" s="20"/>
      <c r="F139" s="21"/>
    </row>
    <row r="140" spans="2:6" x14ac:dyDescent="0.25">
      <c r="B140" s="20"/>
      <c r="C140" s="29"/>
      <c r="D140" s="30"/>
      <c r="E140" s="20"/>
      <c r="F140" s="21"/>
    </row>
    <row r="141" spans="2:6" x14ac:dyDescent="0.25">
      <c r="B141" s="20"/>
      <c r="C141" s="29"/>
      <c r="D141" s="30"/>
      <c r="E141" s="20"/>
      <c r="F141" s="21"/>
    </row>
    <row r="142" spans="2:6" x14ac:dyDescent="0.25">
      <c r="B142" s="20"/>
      <c r="C142" s="29"/>
      <c r="D142" s="30"/>
      <c r="E142" s="20"/>
      <c r="F142" s="21"/>
    </row>
    <row r="143" spans="2:6" x14ac:dyDescent="0.25">
      <c r="B143" s="20"/>
      <c r="C143" s="29"/>
      <c r="D143" s="30"/>
      <c r="E143" s="20"/>
      <c r="F143" s="21"/>
    </row>
    <row r="144" spans="2:6" x14ac:dyDescent="0.25">
      <c r="B144" s="20"/>
      <c r="C144" s="29"/>
      <c r="D144" s="30"/>
      <c r="E144" s="20"/>
      <c r="F144" s="21"/>
    </row>
    <row r="145" spans="2:6" x14ac:dyDescent="0.25">
      <c r="B145" s="20"/>
      <c r="C145" s="29"/>
      <c r="D145" s="30"/>
      <c r="E145" s="20"/>
      <c r="F145" s="21"/>
    </row>
    <row r="146" spans="2:6" x14ac:dyDescent="0.25">
      <c r="B146" s="20"/>
      <c r="C146" s="29"/>
      <c r="D146" s="30"/>
      <c r="E146" s="20"/>
      <c r="F146" s="21"/>
    </row>
    <row r="147" spans="2:6" x14ac:dyDescent="0.25">
      <c r="B147" s="20"/>
      <c r="C147" s="29"/>
      <c r="D147" s="30"/>
      <c r="E147" s="20"/>
      <c r="F147" s="21"/>
    </row>
    <row r="148" spans="2:6" x14ac:dyDescent="0.25">
      <c r="B148" s="20"/>
      <c r="C148" s="29"/>
      <c r="D148" s="30"/>
      <c r="E148" s="20"/>
      <c r="F148" s="21"/>
    </row>
    <row r="149" spans="2:6" x14ac:dyDescent="0.25">
      <c r="B149" s="20"/>
      <c r="C149" s="29"/>
      <c r="D149" s="30"/>
      <c r="E149" s="20"/>
      <c r="F149" s="21"/>
    </row>
    <row r="150" spans="2:6" x14ac:dyDescent="0.25">
      <c r="B150" s="20"/>
      <c r="C150" s="29"/>
      <c r="D150" s="30"/>
      <c r="E150" s="20"/>
      <c r="F150" s="21"/>
    </row>
    <row r="151" spans="2:6" x14ac:dyDescent="0.25">
      <c r="B151" s="20"/>
      <c r="C151" s="29"/>
      <c r="D151" s="30"/>
      <c r="E151" s="20"/>
      <c r="F151" s="21"/>
    </row>
    <row r="152" spans="2:6" x14ac:dyDescent="0.25">
      <c r="B152" s="20"/>
      <c r="C152" s="29"/>
      <c r="D152" s="30"/>
      <c r="E152" s="20"/>
      <c r="F152" s="21"/>
    </row>
    <row r="153" spans="2:6" x14ac:dyDescent="0.25">
      <c r="B153" s="20"/>
      <c r="C153" s="29"/>
      <c r="D153" s="30"/>
      <c r="E153" s="20"/>
      <c r="F153" s="21"/>
    </row>
    <row r="154" spans="2:6" x14ac:dyDescent="0.25">
      <c r="B154" s="20"/>
      <c r="C154" s="29"/>
      <c r="D154" s="30"/>
      <c r="E154" s="20"/>
      <c r="F154" s="21"/>
    </row>
    <row r="155" spans="2:6" x14ac:dyDescent="0.25">
      <c r="B155" s="20"/>
      <c r="C155" s="29"/>
      <c r="D155" s="30"/>
      <c r="E155" s="20"/>
      <c r="F155" s="21"/>
    </row>
    <row r="156" spans="2:6" x14ac:dyDescent="0.25">
      <c r="B156" s="20"/>
      <c r="C156" s="29"/>
      <c r="D156" s="30"/>
      <c r="E156" s="20"/>
      <c r="F156" s="21"/>
    </row>
    <row r="157" spans="2:6" x14ac:dyDescent="0.25">
      <c r="B157" s="20"/>
      <c r="C157" s="29"/>
      <c r="D157" s="30"/>
      <c r="E157" s="20"/>
      <c r="F157" s="21"/>
    </row>
    <row r="158" spans="2:6" x14ac:dyDescent="0.25">
      <c r="B158" s="20"/>
      <c r="C158" s="29"/>
      <c r="D158" s="30"/>
      <c r="E158" s="20"/>
      <c r="F158" s="21"/>
    </row>
    <row r="159" spans="2:6" x14ac:dyDescent="0.25">
      <c r="B159" s="20"/>
      <c r="C159" s="29"/>
      <c r="D159" s="30"/>
      <c r="E159" s="20"/>
      <c r="F159" s="21"/>
    </row>
    <row r="160" spans="2:6" x14ac:dyDescent="0.25">
      <c r="B160" s="20"/>
      <c r="C160" s="29"/>
      <c r="D160" s="30"/>
      <c r="E160" s="20"/>
      <c r="F160" s="21"/>
    </row>
    <row r="161" spans="2:6" x14ac:dyDescent="0.25">
      <c r="B161" s="20"/>
      <c r="C161" s="29"/>
      <c r="D161" s="30"/>
      <c r="E161" s="20"/>
      <c r="F161" s="21"/>
    </row>
    <row r="162" spans="2:6" x14ac:dyDescent="0.25">
      <c r="B162" s="20"/>
      <c r="C162" s="29"/>
      <c r="D162" s="30"/>
      <c r="E162" s="20"/>
      <c r="F162" s="21"/>
    </row>
    <row r="163" spans="2:6" x14ac:dyDescent="0.25">
      <c r="B163" s="20"/>
      <c r="C163" s="29"/>
      <c r="D163" s="30"/>
      <c r="E163" s="20"/>
      <c r="F163" s="21"/>
    </row>
    <row r="164" spans="2:6" x14ac:dyDescent="0.25">
      <c r="B164" s="20"/>
      <c r="C164" s="29"/>
      <c r="D164" s="30"/>
      <c r="E164" s="20"/>
      <c r="F164" s="21"/>
    </row>
    <row r="165" spans="2:6" x14ac:dyDescent="0.25">
      <c r="B165" s="20"/>
      <c r="C165" s="29"/>
      <c r="D165" s="30"/>
      <c r="E165" s="20"/>
      <c r="F165" s="21"/>
    </row>
    <row r="166" spans="2:6" x14ac:dyDescent="0.25">
      <c r="B166" s="20"/>
      <c r="C166" s="29"/>
      <c r="D166" s="30"/>
      <c r="E166" s="20"/>
      <c r="F166" s="21"/>
    </row>
    <row r="167" spans="2:6" x14ac:dyDescent="0.25">
      <c r="B167" s="20"/>
      <c r="C167" s="29"/>
      <c r="D167" s="30"/>
      <c r="E167" s="20"/>
      <c r="F167" s="21"/>
    </row>
    <row r="168" spans="2:6" x14ac:dyDescent="0.25">
      <c r="B168" s="20"/>
      <c r="C168" s="29"/>
      <c r="D168" s="30"/>
      <c r="E168" s="20"/>
      <c r="F168" s="21"/>
    </row>
    <row r="169" spans="2:6" x14ac:dyDescent="0.25">
      <c r="B169" s="20"/>
      <c r="C169" s="29"/>
      <c r="D169" s="30"/>
      <c r="E169" s="20"/>
      <c r="F169" s="21"/>
    </row>
    <row r="170" spans="2:6" x14ac:dyDescent="0.25">
      <c r="B170" s="20"/>
      <c r="C170" s="29"/>
      <c r="D170" s="30"/>
      <c r="E170" s="20"/>
      <c r="F170" s="21"/>
    </row>
    <row r="171" spans="2:6" x14ac:dyDescent="0.25">
      <c r="B171" s="20"/>
      <c r="C171" s="29"/>
      <c r="D171" s="30"/>
      <c r="E171" s="20"/>
      <c r="F171" s="21"/>
    </row>
    <row r="172" spans="2:6" x14ac:dyDescent="0.25">
      <c r="B172" s="20"/>
      <c r="C172" s="29"/>
      <c r="D172" s="30"/>
      <c r="E172" s="20"/>
      <c r="F172" s="21"/>
    </row>
    <row r="173" spans="2:6" x14ac:dyDescent="0.25">
      <c r="B173" s="20"/>
      <c r="C173" s="29"/>
      <c r="D173" s="30"/>
      <c r="E173" s="20"/>
      <c r="F173" s="21"/>
    </row>
    <row r="174" spans="2:6" x14ac:dyDescent="0.25">
      <c r="B174" s="20"/>
      <c r="C174" s="29"/>
      <c r="D174" s="30"/>
      <c r="E174" s="20"/>
      <c r="F174" s="21"/>
    </row>
    <row r="175" spans="2:6" x14ac:dyDescent="0.25">
      <c r="B175" s="20"/>
      <c r="C175" s="29"/>
      <c r="D175" s="30"/>
      <c r="E175" s="20"/>
      <c r="F175" s="21"/>
    </row>
    <row r="176" spans="2:6" x14ac:dyDescent="0.25">
      <c r="B176" s="20"/>
      <c r="C176" s="29"/>
      <c r="D176" s="30"/>
      <c r="E176" s="20"/>
      <c r="F176" s="21"/>
    </row>
    <row r="177" spans="2:6" x14ac:dyDescent="0.25">
      <c r="B177" s="20"/>
      <c r="C177" s="29"/>
      <c r="D177" s="30"/>
      <c r="E177" s="20"/>
      <c r="F177" s="21"/>
    </row>
    <row r="178" spans="2:6" x14ac:dyDescent="0.25">
      <c r="B178" s="20"/>
      <c r="C178" s="29"/>
      <c r="D178" s="30"/>
      <c r="E178" s="20"/>
      <c r="F178" s="21"/>
    </row>
    <row r="179" spans="2:6" x14ac:dyDescent="0.25">
      <c r="B179" s="20"/>
      <c r="C179" s="29"/>
      <c r="D179" s="30"/>
      <c r="E179" s="20"/>
      <c r="F179" s="21"/>
    </row>
    <row r="180" spans="2:6" x14ac:dyDescent="0.25">
      <c r="B180" s="20"/>
      <c r="C180" s="29"/>
      <c r="D180" s="30"/>
      <c r="E180" s="20"/>
      <c r="F180" s="21"/>
    </row>
    <row r="181" spans="2:6" x14ac:dyDescent="0.25">
      <c r="B181" s="20"/>
      <c r="C181" s="29"/>
      <c r="D181" s="30"/>
      <c r="E181" s="20"/>
      <c r="F181" s="21"/>
    </row>
    <row r="182" spans="2:6" x14ac:dyDescent="0.25">
      <c r="B182" s="20"/>
      <c r="C182" s="29"/>
      <c r="D182" s="30"/>
      <c r="E182" s="20"/>
      <c r="F182" s="21"/>
    </row>
    <row r="183" spans="2:6" x14ac:dyDescent="0.25">
      <c r="B183" s="20"/>
      <c r="C183" s="29"/>
      <c r="D183" s="30"/>
      <c r="E183" s="20"/>
      <c r="F183" s="21"/>
    </row>
    <row r="184" spans="2:6" x14ac:dyDescent="0.25">
      <c r="B184" s="20"/>
      <c r="C184" s="29"/>
      <c r="D184" s="30"/>
      <c r="E184" s="20"/>
      <c r="F184" s="21"/>
    </row>
    <row r="185" spans="2:6" x14ac:dyDescent="0.25">
      <c r="B185" s="20"/>
      <c r="C185" s="29"/>
      <c r="D185" s="30"/>
      <c r="E185" s="20"/>
      <c r="F185" s="21"/>
    </row>
    <row r="186" spans="2:6" x14ac:dyDescent="0.25">
      <c r="B186" s="20"/>
      <c r="C186" s="29"/>
      <c r="D186" s="30"/>
      <c r="E186" s="20"/>
      <c r="F186" s="21"/>
    </row>
    <row r="187" spans="2:6" x14ac:dyDescent="0.25">
      <c r="B187" s="20"/>
      <c r="C187" s="29"/>
      <c r="D187" s="30"/>
      <c r="E187" s="20"/>
      <c r="F187" s="21"/>
    </row>
    <row r="188" spans="2:6" x14ac:dyDescent="0.25">
      <c r="B188" s="20"/>
      <c r="C188" s="29"/>
      <c r="D188" s="30"/>
      <c r="E188" s="20"/>
      <c r="F188" s="21"/>
    </row>
    <row r="189" spans="2:6" x14ac:dyDescent="0.25">
      <c r="B189" s="20"/>
      <c r="C189" s="29"/>
      <c r="D189" s="30"/>
      <c r="E189" s="20"/>
      <c r="F189" s="21"/>
    </row>
    <row r="190" spans="2:6" x14ac:dyDescent="0.25">
      <c r="B190" s="20"/>
      <c r="C190" s="29"/>
      <c r="D190" s="30"/>
      <c r="E190" s="20"/>
      <c r="F190" s="21"/>
    </row>
    <row r="191" spans="2:6" x14ac:dyDescent="0.25">
      <c r="B191" s="20"/>
      <c r="C191" s="29"/>
      <c r="D191" s="30"/>
      <c r="E191" s="20"/>
      <c r="F191" s="21"/>
    </row>
    <row r="192" spans="2:6" x14ac:dyDescent="0.25">
      <c r="B192" s="20"/>
      <c r="C192" s="29"/>
      <c r="D192" s="30"/>
      <c r="E192" s="20"/>
      <c r="F192" s="21"/>
    </row>
    <row r="193" spans="2:6" x14ac:dyDescent="0.25">
      <c r="B193" s="20"/>
      <c r="C193" s="29"/>
      <c r="D193" s="30"/>
      <c r="E193" s="20"/>
      <c r="F193" s="21"/>
    </row>
    <row r="194" spans="2:6" x14ac:dyDescent="0.25">
      <c r="B194" s="20"/>
      <c r="C194" s="29"/>
      <c r="D194" s="30"/>
      <c r="E194" s="20"/>
      <c r="F194" s="21"/>
    </row>
    <row r="195" spans="2:6" x14ac:dyDescent="0.25">
      <c r="B195" s="20"/>
      <c r="C195" s="29"/>
      <c r="D195" s="30"/>
      <c r="E195" s="20"/>
      <c r="F195" s="21"/>
    </row>
    <row r="196" spans="2:6" x14ac:dyDescent="0.25">
      <c r="B196" s="20"/>
      <c r="C196" s="29"/>
      <c r="D196" s="30"/>
      <c r="E196" s="20"/>
      <c r="F196" s="21"/>
    </row>
    <row r="197" spans="2:6" x14ac:dyDescent="0.25">
      <c r="B197" s="20"/>
      <c r="C197" s="29"/>
      <c r="D197" s="30"/>
      <c r="E197" s="20"/>
      <c r="F197" s="21"/>
    </row>
    <row r="198" spans="2:6" x14ac:dyDescent="0.25">
      <c r="B198" s="20"/>
      <c r="C198" s="29"/>
      <c r="D198" s="30"/>
      <c r="E198" s="20"/>
      <c r="F198" s="21"/>
    </row>
    <row r="199" spans="2:6" x14ac:dyDescent="0.25">
      <c r="B199" s="20"/>
      <c r="C199" s="29"/>
      <c r="D199" s="30"/>
      <c r="E199" s="20"/>
      <c r="F199" s="21"/>
    </row>
    <row r="200" spans="2:6" x14ac:dyDescent="0.25">
      <c r="B200" s="20"/>
      <c r="C200" s="29"/>
      <c r="D200" s="30"/>
      <c r="E200" s="20"/>
      <c r="F200" s="21"/>
    </row>
    <row r="201" spans="2:6" x14ac:dyDescent="0.25">
      <c r="B201" s="20"/>
      <c r="C201" s="29"/>
      <c r="D201" s="30"/>
      <c r="E201" s="20"/>
      <c r="F201" s="21"/>
    </row>
    <row r="202" spans="2:6" x14ac:dyDescent="0.25">
      <c r="B202" s="20"/>
      <c r="C202" s="29"/>
      <c r="D202" s="30"/>
      <c r="E202" s="20"/>
      <c r="F202" s="21"/>
    </row>
    <row r="203" spans="2:6" x14ac:dyDescent="0.25">
      <c r="B203" s="20"/>
      <c r="C203" s="29"/>
      <c r="D203" s="30"/>
      <c r="E203" s="20"/>
      <c r="F203" s="21"/>
    </row>
    <row r="204" spans="2:6" x14ac:dyDescent="0.25">
      <c r="B204" s="20"/>
      <c r="C204" s="29"/>
      <c r="D204" s="30"/>
      <c r="E204" s="20"/>
      <c r="F204" s="21"/>
    </row>
  </sheetData>
  <mergeCells count="4">
    <mergeCell ref="B9:F9"/>
    <mergeCell ref="I9:L9"/>
    <mergeCell ref="B5:G5"/>
    <mergeCell ref="H7:I7"/>
  </mergeCells>
  <dataValidations count="5">
    <dataValidation type="whole" allowBlank="1" showInputMessage="1" showErrorMessage="1" sqref="C104:C105 C14" xr:uid="{00000000-0002-0000-0300-000000000000}">
      <formula1>1111111111</formula1>
      <formula2>9999999999</formula2>
    </dataValidation>
    <dataValidation type="whole" allowBlank="1" showInputMessage="1" showErrorMessage="1" sqref="D104:D105 D14" xr:uid="{00000000-0002-0000-0300-000001000000}">
      <formula1>1</formula1>
      <formula2>8</formula2>
    </dataValidation>
    <dataValidation type="list" allowBlank="1" showInputMessage="1" showErrorMessage="1" sqref="E105" xr:uid="{00000000-0002-0000-0300-000002000000}">
      <formula1>Day</formula1>
    </dataValidation>
    <dataValidation type="list" allowBlank="1" showInputMessage="1" showErrorMessage="1" sqref="F105" xr:uid="{00000000-0002-0000-0300-000004000000}">
      <formula1>Dinner</formula1>
    </dataValidation>
    <dataValidation type="list" allowBlank="1" showInputMessage="1" showErrorMessage="1" sqref="G7" xr:uid="{360FECBA-41D7-4421-B7D4-18AB8D2FD3F6}">
      <formula1>Meal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483902C-F00B-47DF-91C6-0BB2EDF73E99}">
          <x14:formula1>
            <xm:f>IF($G$7=Hidden!$I$1, Dinner, Brunch)</xm:f>
          </x14:formula1>
          <xm:sqref>F7</xm:sqref>
        </x14:dataValidation>
        <x14:dataValidation type="list" allowBlank="1" showInputMessage="1" showErrorMessage="1" xr:uid="{CC34CBE6-2D0B-418C-AAF2-A9AD1C909146}">
          <x14:formula1>
            <xm:f>_xlfn.IFS($G$7=Hidden!$I$1, Hidden!$G$2:$G$3, $G$7=Hidden!$J$1, Hidden!$G$3:$G$4)</xm:f>
          </x14:formula1>
          <xm:sqref>E7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U38"/>
  <sheetViews>
    <sheetView workbookViewId="0">
      <selection activeCell="I37" sqref="I37"/>
    </sheetView>
  </sheetViews>
  <sheetFormatPr defaultColWidth="4.5703125" defaultRowHeight="15" x14ac:dyDescent="0.25"/>
  <cols>
    <col min="1" max="1" width="5.5703125" style="6" customWidth="1"/>
    <col min="2" max="2" width="15.7109375" style="6" bestFit="1" customWidth="1"/>
    <col min="3" max="3" width="5.140625" style="6" bestFit="1" customWidth="1"/>
    <col min="4" max="4" width="5.5703125" style="6" bestFit="1" customWidth="1"/>
    <col min="5" max="5" width="7.85546875" style="6" bestFit="1" customWidth="1"/>
    <col min="6" max="6" width="5.28515625" style="6" bestFit="1" customWidth="1"/>
    <col min="7" max="7" width="5.5703125" style="6" bestFit="1" customWidth="1"/>
    <col min="8" max="8" width="5.42578125" style="6" bestFit="1" customWidth="1"/>
    <col min="9" max="9" width="12.85546875" style="6" bestFit="1" customWidth="1"/>
    <col min="10" max="10" width="13.140625" style="6" bestFit="1" customWidth="1"/>
    <col min="11" max="12" width="4.5703125" style="6"/>
    <col min="13" max="13" width="10" style="6" bestFit="1" customWidth="1"/>
    <col min="14" max="14" width="8.7109375" style="6" bestFit="1" customWidth="1"/>
    <col min="15" max="15" width="9" style="6" bestFit="1" customWidth="1"/>
    <col min="16" max="16" width="5.140625" style="6" bestFit="1" customWidth="1"/>
    <col min="17" max="17" width="5.5703125" style="6" bestFit="1" customWidth="1"/>
    <col min="18" max="18" width="7.85546875" style="6" bestFit="1" customWidth="1"/>
    <col min="19" max="19" width="5.28515625" style="6" bestFit="1" customWidth="1"/>
    <col min="20" max="20" width="5.5703125" style="6" bestFit="1" customWidth="1"/>
    <col min="21" max="21" width="5.42578125" style="6" bestFit="1" customWidth="1"/>
    <col min="22" max="16384" width="4.5703125" style="6"/>
  </cols>
  <sheetData>
    <row r="1" spans="1:21" s="3" customFormat="1" ht="21" x14ac:dyDescent="0.35">
      <c r="A1" s="7" t="s">
        <v>13</v>
      </c>
      <c r="B1" s="8"/>
      <c r="C1" s="8"/>
      <c r="D1" s="8"/>
      <c r="E1" s="9"/>
      <c r="F1" s="10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11"/>
    </row>
    <row r="2" spans="1:21" s="3" customFormat="1" ht="21" x14ac:dyDescent="0.35">
      <c r="A2" s="12" t="s">
        <v>14</v>
      </c>
      <c r="B2" s="13"/>
      <c r="C2" s="13"/>
      <c r="D2" s="13"/>
      <c r="E2" s="14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5"/>
    </row>
    <row r="3" spans="1:21" s="3" customFormat="1" ht="19.5" thickBot="1" x14ac:dyDescent="0.35">
      <c r="A3" s="16" t="s">
        <v>31</v>
      </c>
      <c r="B3" s="17"/>
      <c r="C3" s="17"/>
      <c r="D3" s="17"/>
      <c r="E3" s="18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9"/>
    </row>
    <row r="4" spans="1:21" s="3" customFormat="1" x14ac:dyDescent="0.25">
      <c r="A4" s="5"/>
      <c r="E4" s="4"/>
    </row>
    <row r="5" spans="1:21" s="3" customFormat="1" x14ac:dyDescent="0.25">
      <c r="A5" s="5"/>
      <c r="B5" s="63" t="s">
        <v>41</v>
      </c>
      <c r="C5" s="64"/>
      <c r="D5" s="64"/>
      <c r="E5" s="64"/>
      <c r="F5" s="64"/>
      <c r="G5" s="64"/>
      <c r="H5" s="64"/>
      <c r="I5" s="64"/>
      <c r="J5" s="65"/>
      <c r="L5" s="6"/>
      <c r="M5" s="63" t="s">
        <v>40</v>
      </c>
      <c r="N5" s="64"/>
      <c r="O5" s="64"/>
      <c r="P5" s="64"/>
      <c r="Q5" s="64"/>
      <c r="R5" s="64"/>
      <c r="S5" s="64"/>
      <c r="T5" s="64"/>
      <c r="U5" s="65"/>
    </row>
    <row r="6" spans="1:21" s="3" customFormat="1" x14ac:dyDescent="0.25">
      <c r="A6" s="5"/>
      <c r="B6" s="28" t="s">
        <v>18</v>
      </c>
      <c r="C6" s="28" t="s">
        <v>20</v>
      </c>
      <c r="D6" s="28" t="s">
        <v>21</v>
      </c>
      <c r="E6" s="28" t="s">
        <v>22</v>
      </c>
      <c r="F6" s="28" t="s">
        <v>23</v>
      </c>
      <c r="G6" s="28" t="s">
        <v>24</v>
      </c>
      <c r="H6" s="28" t="s">
        <v>25</v>
      </c>
      <c r="I6" s="28" t="s">
        <v>26</v>
      </c>
      <c r="J6" s="28" t="s">
        <v>27</v>
      </c>
      <c r="L6" s="6"/>
      <c r="M6" s="28" t="s">
        <v>18</v>
      </c>
      <c r="N6" s="23" t="s">
        <v>2</v>
      </c>
      <c r="O6" s="23" t="s">
        <v>10</v>
      </c>
      <c r="P6" s="28" t="s">
        <v>20</v>
      </c>
      <c r="Q6" s="28" t="s">
        <v>21</v>
      </c>
      <c r="R6" s="28" t="s">
        <v>22</v>
      </c>
      <c r="S6" s="28" t="s">
        <v>23</v>
      </c>
      <c r="T6" s="28" t="s">
        <v>24</v>
      </c>
      <c r="U6" s="28" t="s">
        <v>25</v>
      </c>
    </row>
    <row r="7" spans="1:21" x14ac:dyDescent="0.25">
      <c r="B7" s="33">
        <v>1</v>
      </c>
      <c r="C7" s="32">
        <v>1</v>
      </c>
      <c r="D7" s="32">
        <v>1</v>
      </c>
      <c r="E7" s="32">
        <v>0</v>
      </c>
      <c r="F7" s="32">
        <v>0</v>
      </c>
      <c r="G7" s="32">
        <v>0</v>
      </c>
      <c r="H7" s="32">
        <v>0</v>
      </c>
      <c r="I7" s="35">
        <f>SUM(C7:H7)</f>
        <v>2</v>
      </c>
      <c r="J7" s="33">
        <f>ROUNDUP(Reservations!L11/10, 0)</f>
        <v>3</v>
      </c>
      <c r="M7" s="33">
        <v>1</v>
      </c>
      <c r="N7" s="22" t="s">
        <v>5</v>
      </c>
      <c r="O7" s="24">
        <v>0.70833333333333337</v>
      </c>
      <c r="P7" s="34">
        <v>1</v>
      </c>
      <c r="Q7" s="34">
        <v>1</v>
      </c>
      <c r="R7" s="34"/>
      <c r="S7" s="34"/>
      <c r="T7" s="34"/>
      <c r="U7" s="34"/>
    </row>
    <row r="8" spans="1:21" x14ac:dyDescent="0.25">
      <c r="B8" s="33">
        <v>2</v>
      </c>
      <c r="C8" s="32">
        <v>0</v>
      </c>
      <c r="D8" s="32">
        <v>0</v>
      </c>
      <c r="E8" s="32">
        <v>0</v>
      </c>
      <c r="F8" s="32">
        <v>0</v>
      </c>
      <c r="G8" s="32">
        <v>0</v>
      </c>
      <c r="H8" s="32">
        <v>0</v>
      </c>
      <c r="I8" s="35">
        <f t="shared" ref="I8:I34" si="0">SUM(C8:H8)</f>
        <v>0</v>
      </c>
      <c r="J8" s="33">
        <f>ROUNDUP(Reservations!L12/10, 0)</f>
        <v>3</v>
      </c>
      <c r="M8" s="33">
        <v>2</v>
      </c>
      <c r="N8" s="22" t="s">
        <v>5</v>
      </c>
      <c r="O8" s="24">
        <v>0.72916666666666663</v>
      </c>
      <c r="P8" s="34">
        <v>1</v>
      </c>
      <c r="Q8" s="34">
        <v>1</v>
      </c>
      <c r="R8" s="34"/>
      <c r="S8" s="34"/>
      <c r="T8" s="34"/>
      <c r="U8" s="34"/>
    </row>
    <row r="9" spans="1:21" x14ac:dyDescent="0.25">
      <c r="B9" s="33">
        <v>3</v>
      </c>
      <c r="C9" s="32">
        <v>0</v>
      </c>
      <c r="D9" s="32">
        <v>0</v>
      </c>
      <c r="E9" s="32">
        <v>0</v>
      </c>
      <c r="F9" s="32">
        <v>0</v>
      </c>
      <c r="G9" s="32">
        <v>0</v>
      </c>
      <c r="H9" s="32">
        <v>0</v>
      </c>
      <c r="I9" s="35">
        <f t="shared" si="0"/>
        <v>0</v>
      </c>
      <c r="J9" s="33">
        <f>ROUNDUP(Reservations!L13/10, 0)</f>
        <v>2</v>
      </c>
      <c r="M9" s="33">
        <v>3</v>
      </c>
      <c r="N9" s="22" t="s">
        <v>5</v>
      </c>
      <c r="O9" s="24">
        <v>0.75</v>
      </c>
      <c r="P9" s="34">
        <v>1</v>
      </c>
      <c r="Q9" s="34">
        <v>1</v>
      </c>
      <c r="R9" s="34"/>
      <c r="S9" s="34"/>
      <c r="T9" s="34"/>
      <c r="U9" s="34"/>
    </row>
    <row r="10" spans="1:21" x14ac:dyDescent="0.25">
      <c r="B10" s="33">
        <v>4</v>
      </c>
      <c r="C10" s="32">
        <v>0</v>
      </c>
      <c r="D10" s="32">
        <v>0</v>
      </c>
      <c r="E10" s="32">
        <v>0</v>
      </c>
      <c r="F10" s="32">
        <v>0</v>
      </c>
      <c r="G10" s="32">
        <v>0</v>
      </c>
      <c r="H10" s="32">
        <v>0</v>
      </c>
      <c r="I10" s="35">
        <f t="shared" si="0"/>
        <v>0</v>
      </c>
      <c r="J10" s="33">
        <f>ROUNDUP(Reservations!L14/10, 0)</f>
        <v>3</v>
      </c>
      <c r="M10" s="33">
        <v>4</v>
      </c>
      <c r="N10" s="22" t="s">
        <v>5</v>
      </c>
      <c r="O10" s="24">
        <v>0.77083333333333304</v>
      </c>
      <c r="P10" s="34">
        <v>1</v>
      </c>
      <c r="Q10" s="34">
        <v>1</v>
      </c>
      <c r="R10" s="34"/>
      <c r="S10" s="34"/>
      <c r="T10" s="34"/>
      <c r="U10" s="34"/>
    </row>
    <row r="11" spans="1:21" x14ac:dyDescent="0.25">
      <c r="B11" s="33">
        <v>5</v>
      </c>
      <c r="C11" s="32">
        <v>0</v>
      </c>
      <c r="D11" s="32">
        <v>0</v>
      </c>
      <c r="E11" s="32">
        <v>0</v>
      </c>
      <c r="F11" s="32">
        <v>0</v>
      </c>
      <c r="G11" s="32">
        <v>0</v>
      </c>
      <c r="H11" s="32">
        <v>0</v>
      </c>
      <c r="I11" s="35">
        <f t="shared" si="0"/>
        <v>0</v>
      </c>
      <c r="J11" s="33">
        <f>ROUNDUP(Reservations!L15/10, 0)</f>
        <v>2</v>
      </c>
      <c r="M11" s="33">
        <v>5</v>
      </c>
      <c r="N11" s="22" t="s">
        <v>5</v>
      </c>
      <c r="O11" s="24">
        <v>0.79166666666666663</v>
      </c>
      <c r="P11" s="34">
        <v>1</v>
      </c>
      <c r="Q11" s="34">
        <v>1</v>
      </c>
      <c r="R11" s="34"/>
      <c r="S11" s="34"/>
      <c r="T11" s="34"/>
      <c r="U11" s="34"/>
    </row>
    <row r="12" spans="1:21" x14ac:dyDescent="0.25">
      <c r="B12" s="33">
        <v>6</v>
      </c>
      <c r="C12" s="32">
        <v>0</v>
      </c>
      <c r="D12" s="32">
        <v>0</v>
      </c>
      <c r="E12" s="32">
        <v>0</v>
      </c>
      <c r="F12" s="32">
        <v>0</v>
      </c>
      <c r="G12" s="32">
        <v>0</v>
      </c>
      <c r="H12" s="32">
        <v>0</v>
      </c>
      <c r="I12" s="35">
        <f t="shared" si="0"/>
        <v>0</v>
      </c>
      <c r="J12" s="33">
        <f>ROUNDUP(Reservations!L16/10, 0)</f>
        <v>3</v>
      </c>
      <c r="M12" s="33">
        <v>6</v>
      </c>
      <c r="N12" s="22" t="s">
        <v>5</v>
      </c>
      <c r="O12" s="24">
        <v>0.8125</v>
      </c>
      <c r="P12" s="34">
        <v>1</v>
      </c>
      <c r="Q12" s="34">
        <v>1</v>
      </c>
      <c r="R12" s="34"/>
      <c r="S12" s="34"/>
      <c r="T12" s="34"/>
      <c r="U12" s="34"/>
    </row>
    <row r="13" spans="1:21" x14ac:dyDescent="0.25">
      <c r="B13" s="33">
        <v>7</v>
      </c>
      <c r="C13" s="32">
        <v>0</v>
      </c>
      <c r="D13" s="32">
        <v>0</v>
      </c>
      <c r="E13" s="32">
        <v>0</v>
      </c>
      <c r="F13" s="32">
        <v>0</v>
      </c>
      <c r="G13" s="32">
        <v>0</v>
      </c>
      <c r="H13" s="32">
        <v>0</v>
      </c>
      <c r="I13" s="35">
        <f t="shared" si="0"/>
        <v>0</v>
      </c>
      <c r="J13" s="33">
        <f>ROUNDUP(Reservations!L17/10, 0)</f>
        <v>3</v>
      </c>
      <c r="M13" s="33">
        <v>7</v>
      </c>
      <c r="N13" s="22" t="s">
        <v>5</v>
      </c>
      <c r="O13" s="24">
        <v>0.83333333333333304</v>
      </c>
      <c r="P13" s="34">
        <v>1</v>
      </c>
      <c r="Q13" s="34">
        <v>1</v>
      </c>
      <c r="R13" s="34"/>
      <c r="S13" s="34"/>
      <c r="T13" s="34"/>
      <c r="U13" s="34"/>
    </row>
    <row r="14" spans="1:21" x14ac:dyDescent="0.25">
      <c r="B14" s="33">
        <v>8</v>
      </c>
      <c r="C14" s="32">
        <v>0</v>
      </c>
      <c r="D14" s="32">
        <v>0</v>
      </c>
      <c r="E14" s="32">
        <v>0</v>
      </c>
      <c r="F14" s="32">
        <v>0</v>
      </c>
      <c r="G14" s="32">
        <v>0</v>
      </c>
      <c r="H14" s="32">
        <v>0</v>
      </c>
      <c r="I14" s="35">
        <f t="shared" si="0"/>
        <v>0</v>
      </c>
      <c r="J14" s="33">
        <f>ROUNDUP(Reservations!L18/10, 0)</f>
        <v>0</v>
      </c>
      <c r="M14" s="33">
        <v>8</v>
      </c>
      <c r="N14" s="22" t="s">
        <v>5</v>
      </c>
      <c r="O14" s="24">
        <v>0.85416666666666663</v>
      </c>
      <c r="P14" s="34">
        <v>1</v>
      </c>
      <c r="Q14" s="34">
        <v>1</v>
      </c>
      <c r="R14" s="34"/>
      <c r="S14" s="34"/>
      <c r="T14" s="34"/>
      <c r="U14" s="34"/>
    </row>
    <row r="15" spans="1:21" x14ac:dyDescent="0.25">
      <c r="B15" s="33">
        <v>9</v>
      </c>
      <c r="C15" s="32">
        <v>0</v>
      </c>
      <c r="D15" s="32">
        <v>0</v>
      </c>
      <c r="E15" s="32">
        <v>0</v>
      </c>
      <c r="F15" s="32">
        <v>0</v>
      </c>
      <c r="G15" s="32">
        <v>0</v>
      </c>
      <c r="H15" s="32">
        <v>0</v>
      </c>
      <c r="I15" s="35">
        <f t="shared" si="0"/>
        <v>0</v>
      </c>
      <c r="J15" s="33">
        <f>ROUNDUP(Reservations!L19/10, 0)</f>
        <v>0</v>
      </c>
      <c r="M15" s="33">
        <v>9</v>
      </c>
      <c r="N15" s="22" t="s">
        <v>6</v>
      </c>
      <c r="O15" s="24">
        <v>0.33333333333333331</v>
      </c>
      <c r="P15" s="34"/>
      <c r="Q15" s="34">
        <v>1</v>
      </c>
      <c r="R15" s="34"/>
      <c r="S15" s="34"/>
      <c r="T15" s="34"/>
      <c r="U15" s="34"/>
    </row>
    <row r="16" spans="1:21" x14ac:dyDescent="0.25">
      <c r="B16" s="33">
        <v>10</v>
      </c>
      <c r="C16" s="32">
        <v>0</v>
      </c>
      <c r="D16" s="32">
        <v>0</v>
      </c>
      <c r="E16" s="32">
        <v>0</v>
      </c>
      <c r="F16" s="32">
        <v>0</v>
      </c>
      <c r="G16" s="32">
        <v>0</v>
      </c>
      <c r="H16" s="32">
        <v>0</v>
      </c>
      <c r="I16" s="35">
        <f t="shared" si="0"/>
        <v>0</v>
      </c>
      <c r="J16" s="33">
        <f>ROUNDUP(Reservations!L20/10, 0)</f>
        <v>2</v>
      </c>
      <c r="M16" s="33">
        <v>10</v>
      </c>
      <c r="N16" s="22" t="s">
        <v>6</v>
      </c>
      <c r="O16" s="24">
        <v>0.35416666666666669</v>
      </c>
      <c r="P16" s="34"/>
      <c r="Q16" s="34">
        <v>1</v>
      </c>
      <c r="R16" s="34"/>
      <c r="S16" s="34"/>
      <c r="T16" s="34"/>
      <c r="U16" s="34"/>
    </row>
    <row r="17" spans="2:21" x14ac:dyDescent="0.25">
      <c r="B17" s="33">
        <v>11</v>
      </c>
      <c r="C17" s="32">
        <v>0</v>
      </c>
      <c r="D17" s="32">
        <v>0</v>
      </c>
      <c r="E17" s="32">
        <v>0</v>
      </c>
      <c r="F17" s="32">
        <v>0</v>
      </c>
      <c r="G17" s="32">
        <v>0</v>
      </c>
      <c r="H17" s="32">
        <v>0</v>
      </c>
      <c r="I17" s="35">
        <f t="shared" si="0"/>
        <v>0</v>
      </c>
      <c r="J17" s="33">
        <f>ROUNDUP(Reservations!L21/10, 0)</f>
        <v>3</v>
      </c>
      <c r="M17" s="33">
        <v>11</v>
      </c>
      <c r="N17" s="22" t="s">
        <v>6</v>
      </c>
      <c r="O17" s="24">
        <v>0.375</v>
      </c>
      <c r="P17" s="34"/>
      <c r="Q17" s="34">
        <v>1</v>
      </c>
      <c r="R17" s="34"/>
      <c r="S17" s="34"/>
      <c r="T17" s="34"/>
      <c r="U17" s="34"/>
    </row>
    <row r="18" spans="2:21" x14ac:dyDescent="0.25">
      <c r="B18" s="33">
        <v>12</v>
      </c>
      <c r="C18" s="32">
        <v>0</v>
      </c>
      <c r="D18" s="32">
        <v>0</v>
      </c>
      <c r="E18" s="32">
        <v>0</v>
      </c>
      <c r="F18" s="32">
        <v>0</v>
      </c>
      <c r="G18" s="32">
        <v>0</v>
      </c>
      <c r="H18" s="32">
        <v>0</v>
      </c>
      <c r="I18" s="35">
        <f t="shared" si="0"/>
        <v>0</v>
      </c>
      <c r="J18" s="33">
        <f>ROUNDUP(Reservations!L22/10, 0)</f>
        <v>3</v>
      </c>
      <c r="M18" s="33">
        <v>12</v>
      </c>
      <c r="N18" s="22" t="s">
        <v>6</v>
      </c>
      <c r="O18" s="24">
        <v>0.39583333333333298</v>
      </c>
      <c r="P18" s="34"/>
      <c r="Q18" s="34">
        <v>1</v>
      </c>
      <c r="R18" s="34"/>
      <c r="S18" s="34"/>
      <c r="T18" s="34"/>
      <c r="U18" s="34"/>
    </row>
    <row r="19" spans="2:21" x14ac:dyDescent="0.25">
      <c r="B19" s="33">
        <v>13</v>
      </c>
      <c r="C19" s="32">
        <v>0</v>
      </c>
      <c r="D19" s="32">
        <v>0</v>
      </c>
      <c r="E19" s="32">
        <v>0</v>
      </c>
      <c r="F19" s="32">
        <v>0</v>
      </c>
      <c r="G19" s="32">
        <v>0</v>
      </c>
      <c r="H19" s="32">
        <v>0</v>
      </c>
      <c r="I19" s="35">
        <f t="shared" si="0"/>
        <v>0</v>
      </c>
      <c r="J19" s="33">
        <f>ROUNDUP(Reservations!L23/10, 0)</f>
        <v>3</v>
      </c>
      <c r="M19" s="33">
        <v>13</v>
      </c>
      <c r="N19" s="22" t="s">
        <v>6</v>
      </c>
      <c r="O19" s="24">
        <v>0.41666666666666702</v>
      </c>
      <c r="P19" s="34"/>
      <c r="Q19" s="34">
        <v>1</v>
      </c>
      <c r="R19" s="34"/>
      <c r="S19" s="34"/>
      <c r="T19" s="34"/>
      <c r="U19" s="34"/>
    </row>
    <row r="20" spans="2:21" x14ac:dyDescent="0.25">
      <c r="B20" s="33">
        <v>14</v>
      </c>
      <c r="C20" s="32">
        <v>0</v>
      </c>
      <c r="D20" s="32">
        <v>0</v>
      </c>
      <c r="E20" s="32">
        <v>0</v>
      </c>
      <c r="F20" s="32">
        <v>0</v>
      </c>
      <c r="G20" s="32">
        <v>0</v>
      </c>
      <c r="H20" s="32">
        <v>0</v>
      </c>
      <c r="I20" s="35">
        <f t="shared" si="0"/>
        <v>0</v>
      </c>
      <c r="J20" s="33">
        <f>ROUNDUP(Reservations!L24/10, 0)</f>
        <v>3</v>
      </c>
      <c r="M20" s="33">
        <v>14</v>
      </c>
      <c r="N20" s="22" t="s">
        <v>6</v>
      </c>
      <c r="O20" s="24">
        <v>0.4375</v>
      </c>
      <c r="P20" s="34"/>
      <c r="Q20" s="34">
        <v>1</v>
      </c>
      <c r="R20" s="34"/>
      <c r="S20" s="34"/>
      <c r="T20" s="34"/>
      <c r="U20" s="34"/>
    </row>
    <row r="21" spans="2:21" x14ac:dyDescent="0.25">
      <c r="B21" s="33">
        <v>15</v>
      </c>
      <c r="C21" s="32">
        <v>0</v>
      </c>
      <c r="D21" s="32">
        <v>0</v>
      </c>
      <c r="E21" s="32">
        <v>0</v>
      </c>
      <c r="F21" s="32">
        <v>0</v>
      </c>
      <c r="G21" s="32">
        <v>0</v>
      </c>
      <c r="H21" s="32">
        <v>0</v>
      </c>
      <c r="I21" s="35">
        <f t="shared" si="0"/>
        <v>0</v>
      </c>
      <c r="J21" s="33">
        <f>ROUNDUP(Reservations!L25/10, 0)</f>
        <v>3</v>
      </c>
      <c r="M21" s="33">
        <v>15</v>
      </c>
      <c r="N21" s="22" t="s">
        <v>6</v>
      </c>
      <c r="O21" s="24">
        <v>0.70833333333333337</v>
      </c>
      <c r="P21" s="34"/>
      <c r="Q21" s="34"/>
      <c r="R21" s="34">
        <v>1</v>
      </c>
      <c r="S21" s="34"/>
      <c r="T21" s="34"/>
      <c r="U21" s="34"/>
    </row>
    <row r="22" spans="2:21" x14ac:dyDescent="0.25">
      <c r="B22" s="33">
        <v>16</v>
      </c>
      <c r="C22" s="32">
        <v>0</v>
      </c>
      <c r="D22" s="32">
        <v>0</v>
      </c>
      <c r="E22" s="32">
        <v>0</v>
      </c>
      <c r="F22" s="32">
        <v>0</v>
      </c>
      <c r="G22" s="32">
        <v>0</v>
      </c>
      <c r="H22" s="32">
        <v>0</v>
      </c>
      <c r="I22" s="35">
        <f t="shared" si="0"/>
        <v>0</v>
      </c>
      <c r="J22" s="33">
        <f>ROUNDUP(Reservations!L26/10, 0)</f>
        <v>2</v>
      </c>
      <c r="M22" s="33">
        <v>16</v>
      </c>
      <c r="N22" s="22" t="s">
        <v>6</v>
      </c>
      <c r="O22" s="24">
        <v>0.72916666666666663</v>
      </c>
      <c r="P22" s="34"/>
      <c r="Q22" s="34"/>
      <c r="R22" s="34">
        <v>1</v>
      </c>
      <c r="S22" s="34"/>
      <c r="T22" s="34"/>
      <c r="U22" s="34"/>
    </row>
    <row r="23" spans="2:21" x14ac:dyDescent="0.25">
      <c r="B23" s="33">
        <v>17</v>
      </c>
      <c r="C23" s="32">
        <v>1</v>
      </c>
      <c r="D23" s="32">
        <v>0</v>
      </c>
      <c r="E23" s="32">
        <v>0</v>
      </c>
      <c r="F23" s="32">
        <v>0</v>
      </c>
      <c r="G23" s="32">
        <v>0</v>
      </c>
      <c r="H23" s="32">
        <v>0</v>
      </c>
      <c r="I23" s="35">
        <f t="shared" si="0"/>
        <v>1</v>
      </c>
      <c r="J23" s="33">
        <f>ROUNDUP(Reservations!L27/10, 0)</f>
        <v>2</v>
      </c>
      <c r="M23" s="33">
        <v>17</v>
      </c>
      <c r="N23" s="22" t="s">
        <v>6</v>
      </c>
      <c r="O23" s="24">
        <v>0.75</v>
      </c>
      <c r="P23" s="34"/>
      <c r="Q23" s="34"/>
      <c r="R23" s="34">
        <v>1</v>
      </c>
      <c r="S23" s="34"/>
      <c r="T23" s="34"/>
      <c r="U23" s="34"/>
    </row>
    <row r="24" spans="2:21" x14ac:dyDescent="0.25">
      <c r="B24" s="33">
        <v>18</v>
      </c>
      <c r="C24" s="32">
        <v>0</v>
      </c>
      <c r="D24" s="32">
        <v>0</v>
      </c>
      <c r="E24" s="32">
        <v>0</v>
      </c>
      <c r="F24" s="32">
        <v>0</v>
      </c>
      <c r="G24" s="32">
        <v>0</v>
      </c>
      <c r="H24" s="32">
        <v>0</v>
      </c>
      <c r="I24" s="35">
        <f t="shared" si="0"/>
        <v>0</v>
      </c>
      <c r="J24" s="33">
        <f>ROUNDUP(Reservations!L28/10, 0)</f>
        <v>3</v>
      </c>
      <c r="M24" s="33">
        <v>18</v>
      </c>
      <c r="N24" s="22" t="s">
        <v>6</v>
      </c>
      <c r="O24" s="24">
        <v>0.77083333333333304</v>
      </c>
      <c r="P24" s="34"/>
      <c r="Q24" s="34"/>
      <c r="R24" s="34">
        <v>1</v>
      </c>
      <c r="S24" s="34"/>
      <c r="T24" s="34"/>
      <c r="U24" s="34"/>
    </row>
    <row r="25" spans="2:21" x14ac:dyDescent="0.25">
      <c r="B25" s="33">
        <v>19</v>
      </c>
      <c r="C25" s="32">
        <v>0</v>
      </c>
      <c r="D25" s="32">
        <v>0</v>
      </c>
      <c r="E25" s="32">
        <v>0</v>
      </c>
      <c r="F25" s="32">
        <v>0</v>
      </c>
      <c r="G25" s="32">
        <v>0</v>
      </c>
      <c r="H25" s="32">
        <v>0</v>
      </c>
      <c r="I25" s="35">
        <f t="shared" si="0"/>
        <v>0</v>
      </c>
      <c r="J25" s="33">
        <f>ROUNDUP(Reservations!L29/10, 0)</f>
        <v>3</v>
      </c>
      <c r="M25" s="33">
        <v>19</v>
      </c>
      <c r="N25" s="22" t="s">
        <v>6</v>
      </c>
      <c r="O25" s="24">
        <v>0.79166666666666663</v>
      </c>
      <c r="P25" s="34"/>
      <c r="Q25" s="34"/>
      <c r="R25" s="34">
        <v>1</v>
      </c>
      <c r="S25" s="34"/>
      <c r="T25" s="34"/>
      <c r="U25" s="34"/>
    </row>
    <row r="26" spans="2:21" x14ac:dyDescent="0.25">
      <c r="B26" s="33">
        <v>20</v>
      </c>
      <c r="C26" s="32">
        <v>0</v>
      </c>
      <c r="D26" s="32">
        <v>0</v>
      </c>
      <c r="E26" s="32">
        <v>0</v>
      </c>
      <c r="F26" s="32">
        <v>0</v>
      </c>
      <c r="G26" s="32">
        <v>0</v>
      </c>
      <c r="H26" s="32">
        <v>0</v>
      </c>
      <c r="I26" s="35">
        <f t="shared" si="0"/>
        <v>0</v>
      </c>
      <c r="J26" s="33">
        <f>ROUNDUP(Reservations!L30/10, 0)</f>
        <v>3</v>
      </c>
      <c r="M26" s="33">
        <v>20</v>
      </c>
      <c r="N26" s="22" t="s">
        <v>6</v>
      </c>
      <c r="O26" s="24">
        <v>0.8125</v>
      </c>
      <c r="P26" s="34"/>
      <c r="Q26" s="34"/>
      <c r="R26" s="34">
        <v>1</v>
      </c>
      <c r="S26" s="34"/>
      <c r="T26" s="34"/>
      <c r="U26" s="34"/>
    </row>
    <row r="27" spans="2:21" x14ac:dyDescent="0.25">
      <c r="B27" s="33">
        <v>21</v>
      </c>
      <c r="C27" s="32">
        <v>1</v>
      </c>
      <c r="D27" s="32">
        <v>0</v>
      </c>
      <c r="E27" s="32">
        <v>0</v>
      </c>
      <c r="F27" s="32">
        <v>0</v>
      </c>
      <c r="G27" s="32">
        <v>0</v>
      </c>
      <c r="H27" s="32">
        <v>0</v>
      </c>
      <c r="I27" s="35">
        <f t="shared" si="0"/>
        <v>1</v>
      </c>
      <c r="J27" s="33">
        <f>ROUNDUP(Reservations!L31/10, 0)</f>
        <v>1</v>
      </c>
      <c r="M27" s="33">
        <v>21</v>
      </c>
      <c r="N27" s="22" t="s">
        <v>6</v>
      </c>
      <c r="O27" s="24">
        <v>0.83333333333333304</v>
      </c>
      <c r="P27" s="34"/>
      <c r="Q27" s="34"/>
      <c r="R27" s="34">
        <v>1</v>
      </c>
      <c r="S27" s="34"/>
      <c r="T27" s="34"/>
      <c r="U27" s="34"/>
    </row>
    <row r="28" spans="2:21" x14ac:dyDescent="0.25">
      <c r="B28" s="33">
        <v>22</v>
      </c>
      <c r="C28" s="32">
        <v>0</v>
      </c>
      <c r="D28" s="32">
        <v>0</v>
      </c>
      <c r="E28" s="32">
        <v>0</v>
      </c>
      <c r="F28" s="32">
        <v>0</v>
      </c>
      <c r="G28" s="32">
        <v>0</v>
      </c>
      <c r="H28" s="32">
        <v>0</v>
      </c>
      <c r="I28" s="35">
        <f t="shared" si="0"/>
        <v>0</v>
      </c>
      <c r="J28" s="33">
        <f>ROUNDUP(Reservations!L32/10, 0)</f>
        <v>1</v>
      </c>
      <c r="M28" s="33">
        <v>22</v>
      </c>
      <c r="N28" s="22" t="s">
        <v>6</v>
      </c>
      <c r="O28" s="24">
        <v>0.85416666666666663</v>
      </c>
      <c r="P28" s="34"/>
      <c r="Q28" s="34"/>
      <c r="R28" s="34">
        <v>1</v>
      </c>
      <c r="S28" s="34"/>
      <c r="T28" s="34"/>
      <c r="U28" s="34"/>
    </row>
    <row r="29" spans="2:21" x14ac:dyDescent="0.25">
      <c r="B29" s="33">
        <v>23</v>
      </c>
      <c r="C29" s="32">
        <v>0</v>
      </c>
      <c r="D29" s="32">
        <v>0</v>
      </c>
      <c r="E29" s="32">
        <v>0</v>
      </c>
      <c r="F29" s="32">
        <v>0</v>
      </c>
      <c r="G29" s="32">
        <v>0</v>
      </c>
      <c r="H29" s="32">
        <v>0</v>
      </c>
      <c r="I29" s="35">
        <f t="shared" si="0"/>
        <v>0</v>
      </c>
      <c r="J29" s="33">
        <f>ROUNDUP(Reservations!L33/10, 0)</f>
        <v>0</v>
      </c>
      <c r="M29" s="33">
        <v>23</v>
      </c>
      <c r="N29" s="22" t="s">
        <v>7</v>
      </c>
      <c r="O29" s="24">
        <v>0.33333333333333331</v>
      </c>
      <c r="P29" s="34"/>
      <c r="Q29" s="34"/>
      <c r="R29" s="34"/>
      <c r="S29" s="34"/>
      <c r="T29" s="34"/>
      <c r="U29" s="34"/>
    </row>
    <row r="30" spans="2:21" x14ac:dyDescent="0.25">
      <c r="B30" s="33">
        <v>24</v>
      </c>
      <c r="C30" s="32">
        <v>0</v>
      </c>
      <c r="D30" s="32">
        <v>0</v>
      </c>
      <c r="E30" s="32">
        <v>0</v>
      </c>
      <c r="F30" s="32">
        <v>0</v>
      </c>
      <c r="G30" s="32">
        <v>0</v>
      </c>
      <c r="H30" s="32">
        <v>0</v>
      </c>
      <c r="I30" s="35">
        <f t="shared" si="0"/>
        <v>0</v>
      </c>
      <c r="J30" s="33">
        <f>ROUNDUP(Reservations!L34/10, 0)</f>
        <v>3</v>
      </c>
      <c r="M30" s="33">
        <v>24</v>
      </c>
      <c r="N30" s="22" t="s">
        <v>7</v>
      </c>
      <c r="O30" s="24">
        <v>0.35416666666666669</v>
      </c>
      <c r="P30" s="34"/>
      <c r="Q30" s="34"/>
      <c r="R30" s="34"/>
      <c r="S30" s="34"/>
      <c r="T30" s="34"/>
      <c r="U30" s="34"/>
    </row>
    <row r="31" spans="2:21" x14ac:dyDescent="0.25">
      <c r="B31" s="33">
        <v>25</v>
      </c>
      <c r="C31" s="32">
        <v>0</v>
      </c>
      <c r="D31" s="32">
        <v>0</v>
      </c>
      <c r="E31" s="32">
        <v>0</v>
      </c>
      <c r="F31" s="32">
        <v>0</v>
      </c>
      <c r="G31" s="32">
        <v>0</v>
      </c>
      <c r="H31" s="32">
        <v>0</v>
      </c>
      <c r="I31" s="35">
        <f t="shared" si="0"/>
        <v>0</v>
      </c>
      <c r="J31" s="33">
        <f>ROUNDUP(Reservations!L35/10, 0)</f>
        <v>2</v>
      </c>
      <c r="M31" s="33">
        <v>25</v>
      </c>
      <c r="N31" s="22" t="s">
        <v>7</v>
      </c>
      <c r="O31" s="24">
        <v>0.375</v>
      </c>
      <c r="P31" s="34"/>
      <c r="Q31" s="34"/>
      <c r="R31" s="34"/>
      <c r="S31" s="34"/>
      <c r="T31" s="34"/>
      <c r="U31" s="34"/>
    </row>
    <row r="32" spans="2:21" x14ac:dyDescent="0.25">
      <c r="B32" s="33">
        <v>26</v>
      </c>
      <c r="C32" s="32">
        <v>0</v>
      </c>
      <c r="D32" s="32">
        <v>0</v>
      </c>
      <c r="E32" s="32">
        <v>0</v>
      </c>
      <c r="F32" s="32">
        <v>0</v>
      </c>
      <c r="G32" s="32">
        <v>0</v>
      </c>
      <c r="H32" s="32">
        <v>0</v>
      </c>
      <c r="I32" s="35">
        <f t="shared" si="0"/>
        <v>0</v>
      </c>
      <c r="J32" s="33">
        <f>ROUNDUP(Reservations!L36/10, 0)</f>
        <v>1</v>
      </c>
      <c r="M32" s="33">
        <v>26</v>
      </c>
      <c r="N32" s="22" t="s">
        <v>7</v>
      </c>
      <c r="O32" s="24">
        <v>0.39583333333333298</v>
      </c>
      <c r="P32" s="34"/>
      <c r="Q32" s="34"/>
      <c r="R32" s="34"/>
      <c r="S32" s="34"/>
      <c r="T32" s="34"/>
      <c r="U32" s="34"/>
    </row>
    <row r="33" spans="2:21" x14ac:dyDescent="0.25">
      <c r="B33" s="33">
        <v>27</v>
      </c>
      <c r="C33" s="32">
        <v>0</v>
      </c>
      <c r="D33" s="32">
        <v>0</v>
      </c>
      <c r="E33" s="32">
        <v>0</v>
      </c>
      <c r="F33" s="32">
        <v>0</v>
      </c>
      <c r="G33" s="32">
        <v>0</v>
      </c>
      <c r="H33" s="32">
        <v>0</v>
      </c>
      <c r="I33" s="35">
        <f t="shared" si="0"/>
        <v>0</v>
      </c>
      <c r="J33" s="33">
        <f>ROUNDUP(Reservations!L37/10, 0)</f>
        <v>1</v>
      </c>
      <c r="M33" s="33">
        <v>27</v>
      </c>
      <c r="N33" s="22" t="s">
        <v>7</v>
      </c>
      <c r="O33" s="24">
        <v>0.41666666666666702</v>
      </c>
      <c r="P33" s="34"/>
      <c r="Q33" s="34"/>
      <c r="R33" s="34"/>
      <c r="S33" s="34"/>
      <c r="T33" s="34"/>
      <c r="U33" s="34"/>
    </row>
    <row r="34" spans="2:21" x14ac:dyDescent="0.25">
      <c r="B34" s="33">
        <v>28</v>
      </c>
      <c r="C34" s="32">
        <v>0</v>
      </c>
      <c r="D34" s="32">
        <v>0</v>
      </c>
      <c r="E34" s="32">
        <v>0</v>
      </c>
      <c r="F34" s="32">
        <v>0</v>
      </c>
      <c r="G34" s="32">
        <v>0</v>
      </c>
      <c r="H34" s="32">
        <v>0</v>
      </c>
      <c r="I34" s="35">
        <f t="shared" si="0"/>
        <v>0</v>
      </c>
      <c r="J34" s="33">
        <f>ROUNDUP(Reservations!L38/10, 0)</f>
        <v>1</v>
      </c>
      <c r="M34" s="33">
        <v>28</v>
      </c>
      <c r="N34" s="22" t="s">
        <v>7</v>
      </c>
      <c r="O34" s="24">
        <v>0.4375</v>
      </c>
      <c r="P34" s="34"/>
      <c r="Q34" s="34"/>
      <c r="R34" s="34"/>
      <c r="S34" s="34"/>
      <c r="T34" s="34"/>
      <c r="U34" s="34"/>
    </row>
    <row r="35" spans="2:21" x14ac:dyDescent="0.25">
      <c r="B35" s="28" t="s">
        <v>28</v>
      </c>
      <c r="C35" s="35">
        <f>SUM(C7:C34)</f>
        <v>3</v>
      </c>
      <c r="D35" s="35">
        <f t="shared" ref="D35:H35" si="1">SUM(D7:D34)</f>
        <v>1</v>
      </c>
      <c r="E35" s="35">
        <f t="shared" si="1"/>
        <v>0</v>
      </c>
      <c r="F35" s="35">
        <f t="shared" si="1"/>
        <v>0</v>
      </c>
      <c r="G35" s="35">
        <f t="shared" si="1"/>
        <v>0</v>
      </c>
      <c r="H35" s="35">
        <f t="shared" si="1"/>
        <v>0</v>
      </c>
      <c r="I35" s="28" t="s">
        <v>26</v>
      </c>
      <c r="J35" s="37">
        <f>SUM(WaitDV)</f>
        <v>4</v>
      </c>
      <c r="M35" s="63" t="s">
        <v>29</v>
      </c>
      <c r="N35" s="64"/>
      <c r="O35" s="64" t="s">
        <v>29</v>
      </c>
      <c r="P35" s="33">
        <f>SUM(P7:P34)</f>
        <v>8</v>
      </c>
      <c r="Q35" s="33">
        <f t="shared" ref="Q35:U35" si="2">SUM(Q7:Q34)</f>
        <v>14</v>
      </c>
      <c r="R35" s="33">
        <f t="shared" si="2"/>
        <v>8</v>
      </c>
      <c r="S35" s="33">
        <f t="shared" si="2"/>
        <v>0</v>
      </c>
      <c r="T35" s="33">
        <f t="shared" si="2"/>
        <v>0</v>
      </c>
      <c r="U35" s="33">
        <f t="shared" si="2"/>
        <v>0</v>
      </c>
    </row>
    <row r="37" spans="2:21" x14ac:dyDescent="0.25">
      <c r="M37" s="28" t="s">
        <v>18</v>
      </c>
      <c r="N37" s="23" t="s">
        <v>2</v>
      </c>
      <c r="O37" s="23" t="s">
        <v>10</v>
      </c>
    </row>
    <row r="38" spans="2:21" x14ac:dyDescent="0.25">
      <c r="M38" s="33">
        <f>DGET(M6:O34, M37, AvailCheck)</f>
        <v>8</v>
      </c>
      <c r="N38" s="22" t="s">
        <v>5</v>
      </c>
      <c r="O38" s="24">
        <v>0.85416666666666663</v>
      </c>
    </row>
  </sheetData>
  <mergeCells count="3">
    <mergeCell ref="M35:O35"/>
    <mergeCell ref="B5:J5"/>
    <mergeCell ref="M5:U5"/>
  </mergeCells>
  <conditionalFormatting sqref="C7:J34">
    <cfRule type="expression" dxfId="0" priority="1">
      <formula>$I7&lt;$J7</formula>
    </cfRule>
  </conditionalFormatting>
  <pageMargins left="0.7" right="0.7" top="0.75" bottom="0.75" header="0.3" footer="0.3"/>
  <ignoredErrors>
    <ignoredError sqref="I7 I8:I34" formulaRange="1"/>
    <ignoredError sqref="M38" evalError="1"/>
  </ignoredErrors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8D5C1A-1C69-456B-8451-52DF355A7B3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92</vt:i4>
      </vt:variant>
    </vt:vector>
  </HeadingPairs>
  <TitlesOfParts>
    <vt:vector size="97" baseType="lpstr">
      <vt:lpstr>Documentation</vt:lpstr>
      <vt:lpstr>Welcome</vt:lpstr>
      <vt:lpstr>Hidden</vt:lpstr>
      <vt:lpstr>Reservations</vt:lpstr>
      <vt:lpstr>Workshifts</vt:lpstr>
      <vt:lpstr>AllWaitAvail</vt:lpstr>
      <vt:lpstr>AvailCheck</vt:lpstr>
      <vt:lpstr>AvailTable</vt:lpstr>
      <vt:lpstr>AvailWS</vt:lpstr>
      <vt:lpstr>Brunch</vt:lpstr>
      <vt:lpstr>CustStart</vt:lpstr>
      <vt:lpstr>Day</vt:lpstr>
      <vt:lpstr>DayCol</vt:lpstr>
      <vt:lpstr>Dinner</vt:lpstr>
      <vt:lpstr>EndHere</vt:lpstr>
      <vt:lpstr>Reservations!ExternalData_1</vt:lpstr>
      <vt:lpstr>Reservations!ExternalData_10</vt:lpstr>
      <vt:lpstr>Reservations!ExternalData_11</vt:lpstr>
      <vt:lpstr>Reservations!ExternalData_12</vt:lpstr>
      <vt:lpstr>Reservations!ExternalData_13</vt:lpstr>
      <vt:lpstr>Reservations!ExternalData_14</vt:lpstr>
      <vt:lpstr>Reservations!ExternalData_15</vt:lpstr>
      <vt:lpstr>Reservations!ExternalData_16</vt:lpstr>
      <vt:lpstr>Reservations!ExternalData_17</vt:lpstr>
      <vt:lpstr>Reservations!ExternalData_18</vt:lpstr>
      <vt:lpstr>Reservations!ExternalData_19</vt:lpstr>
      <vt:lpstr>Reservations!ExternalData_2</vt:lpstr>
      <vt:lpstr>Reservations!ExternalData_20</vt:lpstr>
      <vt:lpstr>Reservations!ExternalData_21</vt:lpstr>
      <vt:lpstr>Reservations!ExternalData_22</vt:lpstr>
      <vt:lpstr>Reservations!ExternalData_23</vt:lpstr>
      <vt:lpstr>Reservations!ExternalData_24</vt:lpstr>
      <vt:lpstr>Reservations!ExternalData_25</vt:lpstr>
      <vt:lpstr>Reservations!ExternalData_26</vt:lpstr>
      <vt:lpstr>Reservations!ExternalData_27</vt:lpstr>
      <vt:lpstr>Reservations!ExternalData_28</vt:lpstr>
      <vt:lpstr>Reservations!ExternalData_29</vt:lpstr>
      <vt:lpstr>Reservations!ExternalData_3</vt:lpstr>
      <vt:lpstr>Reservations!ExternalData_32</vt:lpstr>
      <vt:lpstr>Reservations!ExternalData_33</vt:lpstr>
      <vt:lpstr>Reservations!ExternalData_34</vt:lpstr>
      <vt:lpstr>Reservations!ExternalData_35</vt:lpstr>
      <vt:lpstr>Reservations!ExternalData_36</vt:lpstr>
      <vt:lpstr>Reservations!ExternalData_38</vt:lpstr>
      <vt:lpstr>Reservations!ExternalData_39</vt:lpstr>
      <vt:lpstr>Reservations!ExternalData_4</vt:lpstr>
      <vt:lpstr>Reservations!ExternalData_40</vt:lpstr>
      <vt:lpstr>Reservations!ExternalData_41</vt:lpstr>
      <vt:lpstr>Reservations!ExternalData_42</vt:lpstr>
      <vt:lpstr>Reservations!ExternalData_43</vt:lpstr>
      <vt:lpstr>Reservations!ExternalData_44</vt:lpstr>
      <vt:lpstr>Reservations!ExternalData_45</vt:lpstr>
      <vt:lpstr>Reservations!ExternalData_46</vt:lpstr>
      <vt:lpstr>Reservations!ExternalData_47</vt:lpstr>
      <vt:lpstr>Reservations!ExternalData_48</vt:lpstr>
      <vt:lpstr>Reservations!ExternalData_49</vt:lpstr>
      <vt:lpstr>Reservations!ExternalData_5</vt:lpstr>
      <vt:lpstr>Reservations!ExternalData_50</vt:lpstr>
      <vt:lpstr>Reservations!ExternalData_51</vt:lpstr>
      <vt:lpstr>Reservations!ExternalData_52</vt:lpstr>
      <vt:lpstr>Reservations!ExternalData_53</vt:lpstr>
      <vt:lpstr>Reservations!ExternalData_54</vt:lpstr>
      <vt:lpstr>Reservations!ExternalData_6</vt:lpstr>
      <vt:lpstr>Reservations!ExternalData_7</vt:lpstr>
      <vt:lpstr>Reservations!ExternalData_8</vt:lpstr>
      <vt:lpstr>Reservations!ExternalData_9</vt:lpstr>
      <vt:lpstr>FriDinner</vt:lpstr>
      <vt:lpstr>HistData</vt:lpstr>
      <vt:lpstr>Reservations!HistReservations</vt:lpstr>
      <vt:lpstr>ImportHere</vt:lpstr>
      <vt:lpstr>LogInInfo</vt:lpstr>
      <vt:lpstr>Manager_ID</vt:lpstr>
      <vt:lpstr>Max_Shifts</vt:lpstr>
      <vt:lpstr>Meal</vt:lpstr>
      <vt:lpstr>New_Max_Shift</vt:lpstr>
      <vt:lpstr>NewCheck</vt:lpstr>
      <vt:lpstr>NewRez</vt:lpstr>
      <vt:lpstr>NewTime</vt:lpstr>
      <vt:lpstr>NumParty</vt:lpstr>
      <vt:lpstr>Pay_Shift</vt:lpstr>
      <vt:lpstr>ResCheck</vt:lpstr>
      <vt:lpstr>ResInfo</vt:lpstr>
      <vt:lpstr>SatBrunch</vt:lpstr>
      <vt:lpstr>SatDinner</vt:lpstr>
      <vt:lpstr>Shift</vt:lpstr>
      <vt:lpstr>SunBrunch</vt:lpstr>
      <vt:lpstr>TimeCol</vt:lpstr>
      <vt:lpstr>Total_Customers</vt:lpstr>
      <vt:lpstr>Total_Needed</vt:lpstr>
      <vt:lpstr>Total_Waiters</vt:lpstr>
      <vt:lpstr>Total_Workshifts</vt:lpstr>
      <vt:lpstr>TotalDemand</vt:lpstr>
      <vt:lpstr>TotalWaitShift</vt:lpstr>
      <vt:lpstr>WaitDV</vt:lpstr>
      <vt:lpstr>Waiter</vt:lpstr>
      <vt:lpstr>WaitStaff</vt:lpstr>
      <vt:lpstr>WorkshiftAll</vt:lpstr>
    </vt:vector>
  </TitlesOfParts>
  <Company>Pamplin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Michelle Seref</dc:creator>
  <cp:lastModifiedBy>Zain Qadri</cp:lastModifiedBy>
  <dcterms:created xsi:type="dcterms:W3CDTF">2019-08-04T19:28:29Z</dcterms:created>
  <dcterms:modified xsi:type="dcterms:W3CDTF">2023-04-24T19:58:00Z</dcterms:modified>
</cp:coreProperties>
</file>