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ainq\Documents\BIT 3424\"/>
    </mc:Choice>
  </mc:AlternateContent>
  <xr:revisionPtr revIDLastSave="0" documentId="13_ncr:1_{0AD03335-79D7-4729-87D6-DAFD22A26C5F}" xr6:coauthVersionLast="47" xr6:coauthVersionMax="47" xr10:uidLastSave="{00000000-0000-0000-0000-000000000000}"/>
  <bookViews>
    <workbookView xWindow="-120" yWindow="-120" windowWidth="29040" windowHeight="16440" activeTab="5" xr2:uid="{00000000-000D-0000-FFFF-FFFF00000000}"/>
  </bookViews>
  <sheets>
    <sheet name="Documentation" sheetId="8" r:id="rId1"/>
    <sheet name="P13" sheetId="1" r:id="rId2"/>
    <sheet name="P14" sheetId="2" r:id="rId3"/>
    <sheet name="P15-1" sheetId="3" r:id="rId4"/>
    <sheet name="P15-2" sheetId="5" r:id="rId5"/>
    <sheet name="P16-1" sheetId="4" r:id="rId6"/>
    <sheet name="P16-2" sheetId="6" r:id="rId7"/>
    <sheet name="P16-3" sheetId="7" r:id="rId8"/>
  </sheets>
  <externalReferences>
    <externalReference r:id="rId9"/>
  </externalReferences>
  <definedNames>
    <definedName name="Actual_Sales">'P15-1'!$F$13:$F$17</definedName>
    <definedName name="Alexandria">'P16-1'!$B$14:$C$14</definedName>
    <definedName name="Allocation">'P15-2'!$C$13:$C$17</definedName>
    <definedName name="Available_Funds">'P15-1'!$I$23</definedName>
    <definedName name="Available_Supply">'P16-1'!$B$22:$C$22</definedName>
    <definedName name="Bburg">'P16-1'!$B$15:$C$15</definedName>
    <definedName name="Cburg">'P16-1'!$B$16:$C$16</definedName>
    <definedName name="cFish">'P14'!$B$14</definedName>
    <definedName name="Cities">'P16-1'!$H$14:$H$19</definedName>
    <definedName name="cSteak">'P14'!$B$15</definedName>
    <definedName name="cTable">'P14'!$B$16</definedName>
    <definedName name="Current_Inventory">'P15-1'!$B$13:$B$17</definedName>
    <definedName name="DayOne">'P16-3'!$M$14:$M$16</definedName>
    <definedName name="DayTwo">'P16-3'!$M$19:$M$21</definedName>
    <definedName name="Delivered">'P16-2'!$E$15:$E$20</definedName>
    <definedName name="Demand">'P16-2'!$F$15:$F$20</definedName>
    <definedName name="Driver_Cost_Stop">'P16-2'!$B$16:$D$16</definedName>
    <definedName name="Expected_Demand">'P15-1'!$C$13:$C$17</definedName>
    <definedName name="Expected_Profit">'P15-2'!$F$24</definedName>
    <definedName name="Expected_Returns">'P15-2'!$F$20</definedName>
    <definedName name="Expected_Risk">'P15-2'!$F$22</definedName>
    <definedName name="From">'P16-3'!$A$14:$A$55</definedName>
    <definedName name="HistOut">'P14'!$K$37</definedName>
    <definedName name="Holding_Cost">'P15-1'!$I$13:$I$17</definedName>
    <definedName name="Investment">'P15-2'!$D$13:$D$17</definedName>
    <definedName name="InvReport">[1]P9!#REF!</definedName>
    <definedName name="InvTable">[1]P9!#REF!</definedName>
    <definedName name="Lost_Sales">'P15-1'!$G$13:$G$17</definedName>
    <definedName name="Lost_Sales_Cost">'P15-1'!$I$13:$I$17</definedName>
    <definedName name="Max_Cost">'P16-2'!$D$27</definedName>
    <definedName name="Max_Time">'P16-2'!$D$28</definedName>
    <definedName name="Mid_Points">'P16-3'!$J$14:$J$21</definedName>
    <definedName name="MinReport">'P14'!$K$31:$K$33</definedName>
    <definedName name="MinThis">'P16-2'!$B$28</definedName>
    <definedName name="nGuests">'P14'!$B$10</definedName>
    <definedName name="Node_From_To">'P16-3'!$G$14:$G$21</definedName>
    <definedName name="Node_To">'P16-3'!$I$14:$I$21</definedName>
    <definedName name="Nodes">'P16-3'!$F$14:$F$21</definedName>
    <definedName name="nTables">'P14'!$B$11</definedName>
    <definedName name="Number_Stops">'P16-2'!$B$24:$D$24</definedName>
    <definedName name="ObjConst">'P16-2'!$D$27:$D$28</definedName>
    <definedName name="ObjFunc">'P16-2'!$B$27:$B$28</definedName>
    <definedName name="Order_Cost">'P15-1'!$H$13:$H$17</definedName>
    <definedName name="Order_Quantity">'P15-1'!$D$13:$D$17</definedName>
    <definedName name="Path_Cost">'P16-3'!$D$14:$D$55</definedName>
    <definedName name="Path_Time">'P16-3'!#REF!</definedName>
    <definedName name="pFish">'P14'!$B$12</definedName>
    <definedName name="Plane">'P16-2'!$D$15:$D$20</definedName>
    <definedName name="PriceInterval">'P14'!$J$38:$J$48</definedName>
    <definedName name="ProdReport">[1]P9!#REF!</definedName>
    <definedName name="ProdTable">[1]P9!#REF!</definedName>
    <definedName name="Product">'P15-1'!$A$13:$A$17</definedName>
    <definedName name="pSteak">'P14'!$B$13</definedName>
    <definedName name="Remaining_Inventory">'P15-1'!$G$13:$G$17</definedName>
    <definedName name="Return_Rate">'P15-2'!$E$13:$E$17</definedName>
    <definedName name="Risk_Rate">'P15-2'!$F$13:$F$17</definedName>
    <definedName name="Roanoke">'P16-1'!$B$17:$C$17</definedName>
    <definedName name="Route">'P16-3'!$C$14:$C$55</definedName>
    <definedName name="Route_Order__y">'P16-3'!$V$14:$V$21</definedName>
    <definedName name="Salem">'P16-1'!$B$18:$C$18</definedName>
    <definedName name="Sales_Price">'P15-1'!$J$13:$J$17</definedName>
    <definedName name="Selected">'P15-2'!$B$13:$B$17</definedName>
    <definedName name="ShipCost">'P16-1'!$I$14:$J$19</definedName>
    <definedName name="ShipDV">'P16-1'!$B$14:$C$19</definedName>
    <definedName name="SimReport">'P14'!$K$31:$L$33</definedName>
    <definedName name="solver_adj" localSheetId="2" hidden="1">'P14'!$B$15:$D$20</definedName>
    <definedName name="solver_adj" localSheetId="3" hidden="1">'P15-1'!$D$13:$D$17</definedName>
    <definedName name="solver_adj" localSheetId="4" hidden="1">'P15-2'!$B$13:$B$17,'P15-2'!$C$13:$C$17</definedName>
    <definedName name="solver_adj" localSheetId="5" hidden="1">'P16-1'!$B$14:$C$19</definedName>
    <definedName name="solver_adj" localSheetId="6" hidden="1">'P16-2'!$B$15:$D$20</definedName>
    <definedName name="solver_adj" localSheetId="7" hidden="1">'P16-3'!$C$14:$C$55,'P16-3'!$V$14:$V$21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drv" localSheetId="3" hidden="1">1</definedName>
    <definedName name="solver_drv" localSheetId="4" hidden="1">1</definedName>
    <definedName name="solver_drv" localSheetId="5" hidden="1">2</definedName>
    <definedName name="solver_drv" localSheetId="6" hidden="1">1</definedName>
    <definedName name="solver_drv" localSheetId="7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ng" localSheetId="4" hidden="1">1</definedName>
    <definedName name="solver_eng" localSheetId="5" hidden="1">2</definedName>
    <definedName name="solver_eng" localSheetId="6" hidden="1">2</definedName>
    <definedName name="solver_eng" localSheetId="7" hidden="1">2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itr" localSheetId="3" hidden="1">2147483647</definedName>
    <definedName name="solver_itr" localSheetId="4" hidden="1">2147483647</definedName>
    <definedName name="solver_itr" localSheetId="5" hidden="1">2147483647</definedName>
    <definedName name="solver_itr" localSheetId="6" hidden="1">2147483647</definedName>
    <definedName name="solver_itr" localSheetId="7" hidden="1">2147483647</definedName>
    <definedName name="solver_lhs1" localSheetId="3" hidden="1">'P15-1'!$D$13:$D$17</definedName>
    <definedName name="solver_lhs1" localSheetId="4" hidden="1">'P15-2'!$B$20</definedName>
    <definedName name="solver_lhs1" localSheetId="5" hidden="1">'P16-1'!$B$14:$C$19</definedName>
    <definedName name="solver_lhs1" localSheetId="6" hidden="1">'P16-2'!$B$15:$D$20</definedName>
    <definedName name="solver_lhs1" localSheetId="7" hidden="1">'P16-3'!$R$14:$R$55</definedName>
    <definedName name="solver_lhs2" localSheetId="3" hidden="1">'P15-1'!$D$13:$D$17</definedName>
    <definedName name="solver_lhs2" localSheetId="4" hidden="1">'P15-2'!$D$20</definedName>
    <definedName name="solver_lhs2" localSheetId="5" hidden="1">'P16-1'!$B$14:$C$19</definedName>
    <definedName name="solver_lhs2" localSheetId="6" hidden="1">'P16-2'!$B$28</definedName>
    <definedName name="solver_lhs2" localSheetId="7" hidden="1">'P16-3'!$G$14:$G$21</definedName>
    <definedName name="solver_lhs3" localSheetId="3" hidden="1">'P15-1'!$H$23</definedName>
    <definedName name="solver_lhs3" localSheetId="4" hidden="1">'P15-2'!$C$13:$C$17</definedName>
    <definedName name="solver_lhs3" localSheetId="5" hidden="1">'P16-1'!$B$21:$C$21</definedName>
    <definedName name="solver_lhs3" localSheetId="6" hidden="1">'P16-2'!$E$15:$E$20</definedName>
    <definedName name="solver_lhs3" localSheetId="7" hidden="1">'P16-3'!$I$14:$I$21</definedName>
    <definedName name="solver_lhs4" localSheetId="4" hidden="1">'P15-2'!$C$13:$C$17</definedName>
    <definedName name="solver_lhs4" localSheetId="5" hidden="1">'P16-1'!$F$14:$F$19</definedName>
    <definedName name="solver_lhs4" localSheetId="6" hidden="1">'P16-2'!$B$27</definedName>
    <definedName name="solver_lhs4" localSheetId="7" hidden="1">'P16-3'!$C$14:$C$55</definedName>
    <definedName name="solver_lhs5" localSheetId="4" hidden="1">'P15-2'!$B$13:$B$17</definedName>
    <definedName name="solver_lhs5" localSheetId="5" hidden="1">'P16-1'!$F$14:$F$19</definedName>
    <definedName name="solver_lhs5" localSheetId="7" hidden="1">'P16-3'!$V$14:$V$21</definedName>
    <definedName name="solver_lhs6" localSheetId="5" hidden="1">'P16-1'!$F$14:$F$19</definedName>
    <definedName name="solver_lhs7" localSheetId="5" hidden="1">'P16-1'!$F$14:$F$19</definedName>
    <definedName name="solver_lhs8" localSheetId="5" hidden="1">'P16-1'!$F$14:$F$19</definedName>
    <definedName name="solver_mip" localSheetId="3" hidden="1">2147483647</definedName>
    <definedName name="solver_mip" localSheetId="4" hidden="1">2147483647</definedName>
    <definedName name="solver_mip" localSheetId="5" hidden="1">2147483647</definedName>
    <definedName name="solver_mip" localSheetId="6" hidden="1">2147483647</definedName>
    <definedName name="solver_mip" localSheetId="7" hidden="1">2147483647</definedName>
    <definedName name="solver_mni" localSheetId="3" hidden="1">30</definedName>
    <definedName name="solver_mni" localSheetId="4" hidden="1">30</definedName>
    <definedName name="solver_mni" localSheetId="5" hidden="1">30</definedName>
    <definedName name="solver_mni" localSheetId="6" hidden="1">30</definedName>
    <definedName name="solver_mni" localSheetId="7" hidden="1">30</definedName>
    <definedName name="solver_mrt" localSheetId="3" hidden="1">0.075</definedName>
    <definedName name="solver_mrt" localSheetId="4" hidden="1">0.075</definedName>
    <definedName name="solver_mrt" localSheetId="5" hidden="1">0.075</definedName>
    <definedName name="solver_mrt" localSheetId="6" hidden="1">0.075</definedName>
    <definedName name="solver_mrt" localSheetId="7" hidden="1">0.075</definedName>
    <definedName name="solver_msl" localSheetId="3" hidden="1">2</definedName>
    <definedName name="solver_msl" localSheetId="4" hidden="1">2</definedName>
    <definedName name="solver_msl" localSheetId="5" hidden="1">2</definedName>
    <definedName name="solver_msl" localSheetId="6" hidden="1">2</definedName>
    <definedName name="solver_msl" localSheetId="7" hidden="1">2</definedName>
    <definedName name="solver_neg" localSheetId="1" hidden="1">1</definedName>
    <definedName name="solver_neg" localSheetId="2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od" localSheetId="3" hidden="1">2147483647</definedName>
    <definedName name="solver_nod" localSheetId="4" hidden="1">2147483647</definedName>
    <definedName name="solver_nod" localSheetId="5" hidden="1">2147483647</definedName>
    <definedName name="solver_nod" localSheetId="6" hidden="1">2147483647</definedName>
    <definedName name="solver_nod" localSheetId="7" hidden="1">2147483647</definedName>
    <definedName name="solver_num" localSheetId="1" hidden="1">0</definedName>
    <definedName name="solver_num" localSheetId="2" hidden="1">0</definedName>
    <definedName name="solver_num" localSheetId="3" hidden="1">3</definedName>
    <definedName name="solver_num" localSheetId="4" hidden="1">5</definedName>
    <definedName name="solver_num" localSheetId="5" hidden="1">5</definedName>
    <definedName name="solver_num" localSheetId="6" hidden="1">4</definedName>
    <definedName name="solver_num" localSheetId="7" hidden="1">5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opt" localSheetId="1" hidden="1">'P13'!$L$19</definedName>
    <definedName name="solver_opt" localSheetId="2" hidden="1">'P14'!$B$27</definedName>
    <definedName name="solver_opt" localSheetId="3" hidden="1">'P15-1'!$J$23</definedName>
    <definedName name="solver_opt" localSheetId="4" hidden="1">'P15-2'!$F$24</definedName>
    <definedName name="solver_opt" localSheetId="5" hidden="1">'P16-1'!$I$23</definedName>
    <definedName name="solver_opt" localSheetId="6" hidden="1">'P16-2'!$B$28</definedName>
    <definedName name="solver_opt" localSheetId="7" hidden="1">'P16-3'!$G$23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rbv" localSheetId="3" hidden="1">1</definedName>
    <definedName name="solver_rbv" localSheetId="4" hidden="1">1</definedName>
    <definedName name="solver_rbv" localSheetId="5" hidden="1">2</definedName>
    <definedName name="solver_rbv" localSheetId="6" hidden="1">1</definedName>
    <definedName name="solver_rbv" localSheetId="7" hidden="1">1</definedName>
    <definedName name="solver_rel1" localSheetId="3" hidden="1">4</definedName>
    <definedName name="solver_rel1" localSheetId="4" hidden="1">3</definedName>
    <definedName name="solver_rel1" localSheetId="5" hidden="1">4</definedName>
    <definedName name="solver_rel1" localSheetId="6" hidden="1">5</definedName>
    <definedName name="solver_rel1" localSheetId="7" hidden="1">1</definedName>
    <definedName name="solver_rel2" localSheetId="3" hidden="1">3</definedName>
    <definedName name="solver_rel2" localSheetId="4" hidden="1">1</definedName>
    <definedName name="solver_rel2" localSheetId="5" hidden="1">3</definedName>
    <definedName name="solver_rel2" localSheetId="6" hidden="1">1</definedName>
    <definedName name="solver_rel2" localSheetId="7" hidden="1">2</definedName>
    <definedName name="solver_rel3" localSheetId="3" hidden="1">1</definedName>
    <definedName name="solver_rel3" localSheetId="4" hidden="1">1</definedName>
    <definedName name="solver_rel3" localSheetId="5" hidden="1">1</definedName>
    <definedName name="solver_rel3" localSheetId="6" hidden="1">2</definedName>
    <definedName name="solver_rel3" localSheetId="7" hidden="1">2</definedName>
    <definedName name="solver_rel4" localSheetId="4" hidden="1">3</definedName>
    <definedName name="solver_rel4" localSheetId="5" hidden="1">1</definedName>
    <definedName name="solver_rel4" localSheetId="6" hidden="1">1</definedName>
    <definedName name="solver_rel4" localSheetId="7" hidden="1">5</definedName>
    <definedName name="solver_rel5" localSheetId="4" hidden="1">5</definedName>
    <definedName name="solver_rel5" localSheetId="5" hidden="1">3</definedName>
    <definedName name="solver_rel5" localSheetId="7" hidden="1">1</definedName>
    <definedName name="solver_rel6" localSheetId="5" hidden="1">3</definedName>
    <definedName name="solver_rel7" localSheetId="5" hidden="1">3</definedName>
    <definedName name="solver_rel8" localSheetId="5" hidden="1">3</definedName>
    <definedName name="solver_rhs1" localSheetId="3" hidden="1">"integer"</definedName>
    <definedName name="solver_rhs1" localSheetId="4" hidden="1">'P15-2'!$B$22</definedName>
    <definedName name="solver_rhs1" localSheetId="5" hidden="1">"integer"</definedName>
    <definedName name="solver_rhs1" localSheetId="6" hidden="1">"binary"</definedName>
    <definedName name="solver_rhs1" localSheetId="7" hidden="1">'P16-3'!$S$14:$S$55</definedName>
    <definedName name="solver_rhs2" localSheetId="3" hidden="1">0</definedName>
    <definedName name="solver_rhs2" localSheetId="4" hidden="1">'P15-2'!$D$22</definedName>
    <definedName name="solver_rhs2" localSheetId="5" hidden="1">0</definedName>
    <definedName name="solver_rhs2" localSheetId="6" hidden="1">Max_Time</definedName>
    <definedName name="solver_rhs2" localSheetId="7" hidden="1">Start_End</definedName>
    <definedName name="solver_rhs3" localSheetId="3" hidden="1">Available_Funds</definedName>
    <definedName name="solver_rhs3" localSheetId="4" hidden="1">'P15-2'!$C$22</definedName>
    <definedName name="solver_rhs3" localSheetId="5" hidden="1">Available_Supply</definedName>
    <definedName name="solver_rhs3" localSheetId="6" hidden="1">1</definedName>
    <definedName name="solver_rhs3" localSheetId="7" hidden="1">Mid_Points</definedName>
    <definedName name="solver_rhs4" localSheetId="4" hidden="1">'P15-2'!$C$20</definedName>
    <definedName name="solver_rhs4" localSheetId="5" hidden="1">50</definedName>
    <definedName name="solver_rhs4" localSheetId="6" hidden="1">Max_Cost</definedName>
    <definedName name="solver_rhs4" localSheetId="7" hidden="1">"binary"</definedName>
    <definedName name="solver_rhs5" localSheetId="4" hidden="1">"binary"</definedName>
    <definedName name="solver_rhs5" localSheetId="5" hidden="1">0</definedName>
    <definedName name="solver_rhs5" localSheetId="7" hidden="1">8</definedName>
    <definedName name="solver_rhs6" localSheetId="5" hidden="1">0</definedName>
    <definedName name="solver_rhs7" localSheetId="5" hidden="1">0</definedName>
    <definedName name="solver_rhs8" localSheetId="5" hidden="1">0</definedName>
    <definedName name="solver_rlx" localSheetId="3" hidden="1">2</definedName>
    <definedName name="solver_rlx" localSheetId="4" hidden="1">2</definedName>
    <definedName name="solver_rlx" localSheetId="5" hidden="1">2</definedName>
    <definedName name="solver_rlx" localSheetId="6" hidden="1">2</definedName>
    <definedName name="solver_rlx" localSheetId="7" hidden="1">2</definedName>
    <definedName name="solver_rsd" localSheetId="3" hidden="1">0</definedName>
    <definedName name="solver_rsd" localSheetId="4" hidden="1">0</definedName>
    <definedName name="solver_rsd" localSheetId="5" hidden="1">0</definedName>
    <definedName name="solver_rsd" localSheetId="6" hidden="1">0</definedName>
    <definedName name="solver_rsd" localSheetId="7" hidden="1">0</definedName>
    <definedName name="solver_scl" localSheetId="3" hidden="1">1</definedName>
    <definedName name="solver_scl" localSheetId="4" hidden="1">1</definedName>
    <definedName name="solver_scl" localSheetId="5" hidden="1">2</definedName>
    <definedName name="solver_scl" localSheetId="6" hidden="1">1</definedName>
    <definedName name="solver_scl" localSheetId="7" hidden="1">1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sz" localSheetId="3" hidden="1">100</definedName>
    <definedName name="solver_ssz" localSheetId="4" hidden="1">100</definedName>
    <definedName name="solver_ssz" localSheetId="5" hidden="1">100</definedName>
    <definedName name="solver_ssz" localSheetId="6" hidden="1">100</definedName>
    <definedName name="solver_ssz" localSheetId="7" hidden="1">100</definedName>
    <definedName name="solver_tim" localSheetId="3" hidden="1">2147483647</definedName>
    <definedName name="solver_tim" localSheetId="4" hidden="1">2147483647</definedName>
    <definedName name="solver_tim" localSheetId="5" hidden="1">2147483647</definedName>
    <definedName name="solver_tim" localSheetId="6" hidden="1">2147483647</definedName>
    <definedName name="solver_tim" localSheetId="7" hidden="1">2147483647</definedName>
    <definedName name="solver_tol" localSheetId="3" hidden="1">0.01</definedName>
    <definedName name="solver_tol" localSheetId="4" hidden="1">0.01</definedName>
    <definedName name="solver_tol" localSheetId="5" hidden="1">0.01</definedName>
    <definedName name="solver_tol" localSheetId="6" hidden="1">0.01</definedName>
    <definedName name="solver_tol" localSheetId="7" hidden="1">0.01</definedName>
    <definedName name="solver_typ" localSheetId="1" hidden="1">1</definedName>
    <definedName name="solver_typ" localSheetId="2" hidden="1">2</definedName>
    <definedName name="solver_typ" localSheetId="3" hidden="1">1</definedName>
    <definedName name="solver_typ" localSheetId="4" hidden="1">1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userid" localSheetId="5" hidden="1">183966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er" localSheetId="1" hidden="1">3</definedName>
    <definedName name="solver_ver" localSheetId="2" hidden="1">3</definedName>
    <definedName name="solver_ver" localSheetId="3" hidden="1">3</definedName>
    <definedName name="solver_ver" localSheetId="4" hidden="1">3</definedName>
    <definedName name="solver_ver" localSheetId="5" hidden="1">3</definedName>
    <definedName name="solver_ver" localSheetId="6" hidden="1">3</definedName>
    <definedName name="solver_ver" localSheetId="7" hidden="1">3</definedName>
    <definedName name="Start_End">'P16-3'!$H$14:$H$21</definedName>
    <definedName name="StatusBar">'P14'!$A$30</definedName>
    <definedName name="Time_Stop">'P16-2'!$B$25:$D$25</definedName>
    <definedName name="TixPrice">'P14'!$B$18</definedName>
    <definedName name="To">'P16-3'!$B$14:$B$55</definedName>
    <definedName name="Total_Cost">'P16-3'!$G$23</definedName>
    <definedName name="Total_Costs">'P15-1'!$H$23</definedName>
    <definedName name="Total_Demand">'P16-1'!$E$14:$E$19</definedName>
    <definedName name="Total_From_WH">'P16-1'!$B$21:$C$21</definedName>
    <definedName name="Total_Holding">'P15-1'!$I$20</definedName>
    <definedName name="Total_Load">'P16-2'!$B$22:$D$22</definedName>
    <definedName name="Total_Lost_Sales">'P15-1'!$I$20</definedName>
    <definedName name="Total_Order">'P15-1'!$H$20</definedName>
    <definedName name="Total_Overall_Cost">'P16-1'!$I$23</definedName>
    <definedName name="Total_Path_Cost">'P16-3'!$G$23</definedName>
    <definedName name="Total_Profit">'P15-1'!$J$23</definedName>
    <definedName name="Total_Revenue">'P15-1'!$J$20</definedName>
    <definedName name="Total_Ship_Cost">'P16-1'!$I$21</definedName>
    <definedName name="Total_Shipped">'P16-1'!$B$17:$C$22</definedName>
    <definedName name="Total_To_City">'P16-1'!$D$14:$D$19</definedName>
    <definedName name="Total_Travel_Cost">'P16-2'!$B$27</definedName>
    <definedName name="Total_Travel_Time">'P16-2'!$B$28</definedName>
    <definedName name="Total_Unmet_Penalty">'P16-1'!$I$22</definedName>
    <definedName name="TotalCost">'P14'!$B$17</definedName>
    <definedName name="Train">'P16-2'!$C$15:$C$20</definedName>
    <definedName name="TravelDV">'P16-2'!$B$15:$D$20</definedName>
    <definedName name="TrialStart">'P14'!$A$31</definedName>
    <definedName name="Truck">'P16-2'!$B$15:$B$20</definedName>
    <definedName name="Truck_1">'P16-2'!$B$5:$B$10</definedName>
    <definedName name="Truck_2">'P16-2'!$C$5:$C$10</definedName>
    <definedName name="Truck_3">'P16-2'!$D$5:$D$10</definedName>
    <definedName name="Unit_Cost">'P16-2'!$B$23:$D$23</definedName>
    <definedName name="Unit_Shipping_Cost">'P16-1'!$I$17:$J$22</definedName>
    <definedName name="Unmet_Demand">'P16-1'!$F$14:$F$19</definedName>
    <definedName name="Unmet_Penalty">'P16-1'!$K$14:$K$19</definedName>
    <definedName name="Updated_Inventory">'P15-1'!$E$13:$E$17</definedName>
    <definedName name="Vienna">'P16-1'!$B$19:$C$19</definedName>
    <definedName name="WH_1">'P16-1'!$B$14:$B$19</definedName>
    <definedName name="WH_2">'P16-1'!$C$14:$C$19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5" i="7" l="1"/>
  <c r="I16" i="7"/>
  <c r="I17" i="7"/>
  <c r="I18" i="7"/>
  <c r="I19" i="7"/>
  <c r="I20" i="7"/>
  <c r="I21" i="7"/>
  <c r="I14" i="7"/>
  <c r="G15" i="7"/>
  <c r="G16" i="7"/>
  <c r="G17" i="7"/>
  <c r="G18" i="7"/>
  <c r="G19" i="7"/>
  <c r="G20" i="7"/>
  <c r="G21" i="7"/>
  <c r="G14" i="7"/>
  <c r="D19" i="4" l="1"/>
  <c r="F19" i="4" s="1"/>
  <c r="D18" i="4"/>
  <c r="F18" i="4" s="1"/>
  <c r="D17" i="4"/>
  <c r="F17" i="4" s="1"/>
  <c r="D16" i="4"/>
  <c r="F16" i="4" s="1"/>
  <c r="D15" i="4"/>
  <c r="F15" i="4" s="1"/>
  <c r="D14" i="4"/>
  <c r="F14" i="4" s="1"/>
  <c r="C21" i="4"/>
  <c r="G23" i="7"/>
  <c r="I22" i="4" l="1"/>
  <c r="I23" i="4"/>
  <c r="D24" i="6"/>
  <c r="C24" i="6"/>
  <c r="B24" i="6"/>
  <c r="D22" i="6"/>
  <c r="C22" i="6"/>
  <c r="B22" i="6"/>
  <c r="E16" i="6"/>
  <c r="E17" i="6"/>
  <c r="E18" i="6"/>
  <c r="E19" i="6"/>
  <c r="E20" i="6"/>
  <c r="E15" i="6"/>
  <c r="I21" i="4"/>
  <c r="B21" i="4"/>
  <c r="H20" i="3"/>
  <c r="B20" i="5"/>
  <c r="D14" i="5"/>
  <c r="D15" i="5"/>
  <c r="D16" i="5"/>
  <c r="D17" i="5"/>
  <c r="D13" i="5"/>
  <c r="E14" i="3"/>
  <c r="F14" i="3" s="1"/>
  <c r="G14" i="3" s="1"/>
  <c r="E15" i="3"/>
  <c r="F15" i="3" s="1"/>
  <c r="G15" i="3" s="1"/>
  <c r="E16" i="3"/>
  <c r="F16" i="3" s="1"/>
  <c r="G16" i="3" s="1"/>
  <c r="E17" i="3"/>
  <c r="F17" i="3" s="1"/>
  <c r="G17" i="3" s="1"/>
  <c r="E13" i="3"/>
  <c r="F13" i="3" s="1"/>
  <c r="G13" i="3" s="1"/>
  <c r="B18" i="2"/>
  <c r="I20" i="3" l="1"/>
  <c r="B28" i="6"/>
  <c r="B27" i="6"/>
  <c r="F22" i="5"/>
  <c r="D20" i="5"/>
  <c r="F20" i="5"/>
  <c r="J20" i="3"/>
  <c r="B11" i="2"/>
  <c r="B13" i="2"/>
  <c r="H23" i="3" l="1"/>
  <c r="J23" i="3" s="1"/>
  <c r="F24" i="5"/>
  <c r="B17" i="2"/>
  <c r="J11" i="2" s="1"/>
  <c r="G67" i="1"/>
  <c r="G66" i="1"/>
  <c r="I65" i="1"/>
  <c r="H65" i="1"/>
  <c r="G65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43" i="1"/>
  <c r="I30" i="1"/>
  <c r="I29" i="1"/>
  <c r="R15" i="7" l="1"/>
  <c r="R16" i="7"/>
  <c r="R17" i="7"/>
  <c r="R18" i="7"/>
  <c r="R19" i="7"/>
  <c r="R20" i="7"/>
  <c r="R21" i="7"/>
  <c r="R22" i="7"/>
  <c r="R23" i="7"/>
  <c r="R24" i="7"/>
  <c r="R25" i="7"/>
  <c r="R26" i="7"/>
  <c r="R27" i="7"/>
  <c r="R28" i="7"/>
  <c r="R29" i="7"/>
  <c r="R30" i="7"/>
  <c r="R31" i="7"/>
  <c r="R32" i="7"/>
  <c r="R33" i="7"/>
  <c r="R34" i="7"/>
  <c r="R35" i="7"/>
  <c r="R36" i="7"/>
  <c r="R37" i="7"/>
  <c r="R38" i="7"/>
  <c r="R39" i="7"/>
  <c r="R40" i="7"/>
  <c r="R41" i="7"/>
  <c r="R42" i="7"/>
  <c r="R43" i="7"/>
  <c r="R44" i="7"/>
  <c r="R45" i="7"/>
  <c r="R46" i="7"/>
  <c r="R47" i="7"/>
  <c r="R48" i="7"/>
  <c r="R49" i="7"/>
  <c r="R50" i="7"/>
  <c r="R51" i="7"/>
  <c r="R52" i="7"/>
  <c r="R53" i="7"/>
  <c r="R54" i="7"/>
  <c r="R55" i="7"/>
  <c r="R14" i="7"/>
  <c r="S55" i="7"/>
  <c r="S54" i="7"/>
  <c r="S53" i="7"/>
  <c r="S52" i="7"/>
  <c r="S51" i="7"/>
  <c r="S50" i="7"/>
  <c r="S49" i="7"/>
  <c r="S48" i="7"/>
  <c r="S47" i="7"/>
  <c r="S46" i="7"/>
  <c r="S45" i="7"/>
  <c r="S44" i="7"/>
  <c r="S43" i="7"/>
  <c r="S42" i="7"/>
  <c r="S41" i="7"/>
  <c r="S40" i="7"/>
  <c r="S39" i="7"/>
  <c r="S38" i="7"/>
  <c r="S37" i="7"/>
  <c r="S36" i="7"/>
  <c r="S35" i="7"/>
  <c r="S34" i="7"/>
  <c r="S33" i="7"/>
  <c r="S32" i="7"/>
  <c r="S31" i="7"/>
  <c r="S30" i="7"/>
  <c r="S29" i="7"/>
  <c r="S28" i="7"/>
  <c r="S27" i="7"/>
  <c r="S26" i="7"/>
  <c r="S25" i="7"/>
  <c r="S24" i="7"/>
  <c r="S23" i="7"/>
  <c r="S22" i="7"/>
  <c r="S21" i="7"/>
  <c r="S20" i="7"/>
  <c r="S19" i="7"/>
  <c r="S18" i="7"/>
  <c r="S17" i="7"/>
  <c r="S16" i="7"/>
  <c r="S15" i="7"/>
  <c r="S14" i="7"/>
</calcChain>
</file>

<file path=xl/sharedStrings.xml><?xml version="1.0" encoding="utf-8"?>
<sst xmlns="http://schemas.openxmlformats.org/spreadsheetml/2006/main" count="451" uniqueCount="291">
  <si>
    <t>Product 1</t>
  </si>
  <si>
    <t>Product 2</t>
  </si>
  <si>
    <t>Week</t>
  </si>
  <si>
    <t>Linear (TREND)</t>
  </si>
  <si>
    <t>Exponential (GROWTH)</t>
  </si>
  <si>
    <t>Polynomial (Equation)</t>
  </si>
  <si>
    <t>ABS Error-Linear</t>
  </si>
  <si>
    <t>ABS Error-Exp</t>
  </si>
  <si>
    <t>ABS Error-Poly</t>
  </si>
  <si>
    <t>Avg Abs Error</t>
  </si>
  <si>
    <t>Min Avg Abs Error</t>
  </si>
  <si>
    <t>Best Trend</t>
  </si>
  <si>
    <t>Product 1 Trend Analysis: Price Differential (x) vs Sales (y)</t>
  </si>
  <si>
    <t>Descriptive Statistics Report</t>
  </si>
  <si>
    <t>Histogram Report</t>
  </si>
  <si>
    <t>3 Questions</t>
  </si>
  <si>
    <t>Practice 13</t>
  </si>
  <si>
    <t>FORECASTING</t>
  </si>
  <si>
    <t>Polynomial</t>
  </si>
  <si>
    <t>Linear</t>
  </si>
  <si>
    <t>Exponential</t>
  </si>
  <si>
    <t>Intervals</t>
  </si>
  <si>
    <t>(from, to)</t>
  </si>
  <si>
    <t>P1-Price</t>
  </si>
  <si>
    <t>P1-Sales</t>
  </si>
  <si>
    <t>P2-Price</t>
  </si>
  <si>
    <t>P2-Sales</t>
  </si>
  <si>
    <t>PERCENTILE and PERCENTRANK</t>
  </si>
  <si>
    <t>P2-Price Analysis</t>
  </si>
  <si>
    <t>What percentage of P1 prices are &lt;= P2 price mean?</t>
  </si>
  <si>
    <t>What percentage of P1 sales are &gt; P2 sales mean?</t>
  </si>
  <si>
    <t>ABS(P1-P2 Price)</t>
  </si>
  <si>
    <t>Perform comparative analysis between two products price and sales data.</t>
  </si>
  <si>
    <t>Analysis should include descriptive statistics, percentile/percentrank, histogram, and forecasting reports.</t>
  </si>
  <si>
    <t>#1 Create descriptive statistics reports for Product 2 price and sales (hint: you can create both reports at once).</t>
  </si>
  <si>
    <t>#2 Answer the two percentile/percentrank questions comparing Product 1 price and sales to Product 2 mean price and mean sales.</t>
  </si>
  <si>
    <t>#3 Create a historgram report to analyze how often Product 2 prices are in the given intervals.</t>
  </si>
  <si>
    <t>#4 Compare linear, exponential, and polynomial trend forecasts predicting Product 1 Sales based on the absolute difference between Product 1 and Product 2 prices. Which forecast method is the best?</t>
  </si>
  <si>
    <t>4 Questions</t>
  </si>
  <si>
    <t>Practice 14</t>
  </si>
  <si>
    <t>TixPrice</t>
  </si>
  <si>
    <t>cost fish</t>
  </si>
  <si>
    <t>cost steak</t>
  </si>
  <si>
    <t>cost per table</t>
  </si>
  <si>
    <t>nGuests</t>
  </si>
  <si>
    <t>nTables</t>
  </si>
  <si>
    <t>pFish</t>
  </si>
  <si>
    <t>pSteak</t>
  </si>
  <si>
    <t>cFish</t>
  </si>
  <si>
    <t>cSteak</t>
  </si>
  <si>
    <t>cTable</t>
  </si>
  <si>
    <t>TotalCost</t>
  </si>
  <si>
    <t>number of guests ~Normal(mean, stdev)</t>
  </si>
  <si>
    <t>percent fish ~(0,1)</t>
  </si>
  <si>
    <t>total cost =cFish*pFish*nGuests + cSteak*pSteak*nGuests + cTable*nTables</t>
  </si>
  <si>
    <t>percent steak =1-pFish</t>
  </si>
  <si>
    <t>number of tables =nGuests/6</t>
  </si>
  <si>
    <t>Event Catering</t>
  </si>
  <si>
    <t>Two-Way Data Table</t>
  </si>
  <si>
    <t>Number of Guests and Percent Fish</t>
  </si>
  <si>
    <t>Trial</t>
  </si>
  <si>
    <t>Total Cost</t>
  </si>
  <si>
    <t>TixPrice Histogram</t>
  </si>
  <si>
    <t>Simulation complete!</t>
  </si>
  <si>
    <t>min ticket price =TotalCost*(1+profit margin) / nGuests</t>
  </si>
  <si>
    <t>MIN</t>
  </si>
  <si>
    <t>MAX</t>
  </si>
  <si>
    <t>REPORT</t>
  </si>
  <si>
    <t>Price Intervals</t>
  </si>
  <si>
    <t>Create an application to evaluate possible ticket prices for a catering event.</t>
  </si>
  <si>
    <t>You should compare two possible inputs in a data table and then run a full simulation with histogram report.</t>
  </si>
  <si>
    <t>#1 Name the ranges and enter the formulas for the event catering problem. (You can leave nGuests, pFish, and TixPrice cells blank.)</t>
  </si>
  <si>
    <t>#2 Generate a data table to evaluate possible values for number of guests and percent of fish orders. Report the Total Cost for each scenario.</t>
  </si>
  <si>
    <t>#3 Create a simulation application which generates random values for number of guests and percent fish orders and calculates total cost and ticket price.</t>
  </si>
  <si>
    <t>Ask the user for the number of trials to run (between 50 and 200). Ask for the mean and standard deviation for the Normal distribution of number of guests.</t>
  </si>
  <si>
    <t>Ask for the profit margin (as a number) then record the profit margin as a percentage (divided by 100). Note the fixed values for cFish, cSteak, and cTable costs.</t>
  </si>
  <si>
    <t>Before starting the simulation, make sure to clear previous trial values, reset the "StatusBar" to "Simulation running…" and turn off screen updating.</t>
  </si>
  <si>
    <t>For each trial, generate random values for nGuests and pfish, then calculate nTables, pSteak, TotalCost, and TixPrice. Output all trial values to the simulation table.</t>
  </si>
  <si>
    <t>Inside your simulation loop, create an animation to update the "StatusBar" to report the percent simulation complete. You should update this status 10 times.</t>
  </si>
  <si>
    <t>When the simulation is complete, make sure to turn screen updating back on and change the "StatusBar" to "Simulation complete!".</t>
  </si>
  <si>
    <t>Create a report for the min and max TixPrice values and their corresponding row values for TotalCost and nGuests.</t>
  </si>
  <si>
    <t>Generate a histogram report of the TixPrice values using the given Price Intervals. (You do not need to output a new chart each time.) Make sure to clear previous report first.</t>
  </si>
  <si>
    <t>Practice 15-1</t>
  </si>
  <si>
    <t>Practice 15-2</t>
  </si>
  <si>
    <t>INVENTORY</t>
  </si>
  <si>
    <t>Product</t>
  </si>
  <si>
    <t>Current Inventory</t>
  </si>
  <si>
    <t>Expected Demand</t>
  </si>
  <si>
    <t>Order Quantity</t>
  </si>
  <si>
    <t>Updated Inventory</t>
  </si>
  <si>
    <t>Actual Sales</t>
  </si>
  <si>
    <t>Order Cost</t>
  </si>
  <si>
    <t>Sales Price</t>
  </si>
  <si>
    <t>tshirt</t>
  </si>
  <si>
    <t>notebook</t>
  </si>
  <si>
    <t>mug</t>
  </si>
  <si>
    <t>pencils</t>
  </si>
  <si>
    <t>highlighters</t>
  </si>
  <si>
    <t>Decision Variables = number to order (integer and &gt;= 0)</t>
  </si>
  <si>
    <t>Total Order</t>
  </si>
  <si>
    <t>Total Revenue</t>
  </si>
  <si>
    <t>Updated Inventory = current inventory + expected demand</t>
  </si>
  <si>
    <t>Actual Sales = min(expected deman, updated inventory)</t>
  </si>
  <si>
    <t>Total Order Cost = sumproduct(order cost, number to order)</t>
  </si>
  <si>
    <t>Total Costs</t>
  </si>
  <si>
    <t>Available Funds</t>
  </si>
  <si>
    <t>Total Profit</t>
  </si>
  <si>
    <t>Total Revenue = sumproduct(sales price, actual sales)</t>
  </si>
  <si>
    <t>Constraints: total order cost &lt; available funds</t>
  </si>
  <si>
    <t>Lost Sales Cost</t>
  </si>
  <si>
    <t>Lost Sales</t>
  </si>
  <si>
    <t>Total Lost Sales</t>
  </si>
  <si>
    <t>Total Holding Cost = sumproduct(lost sales cost, lost sales)</t>
  </si>
  <si>
    <t>Objective</t>
  </si>
  <si>
    <t>Min Total Lost Sales Cost</t>
  </si>
  <si>
    <t>Max Profit</t>
  </si>
  <si>
    <t>Create a decision model for an inventory problem. Assume that Actual Sales = Min(Expected Demand, Updated Inventory). Consider Lost Sales = Expected Demand - Actual Sales.</t>
  </si>
  <si>
    <t>Compare the Solver solution when the objective is to Min Total Lost Sales costs versus the solution when the objective is to Maximize Profit.</t>
  </si>
  <si>
    <t>1 Question</t>
  </si>
  <si>
    <t>#1 Use the given model notes to complete the formulas in the cells and setup the Solver model.</t>
  </si>
  <si>
    <t>Total Order Quantity</t>
  </si>
  <si>
    <t>Record the total order quantity for each objective function solution. Which objective function results in ordering more?</t>
  </si>
  <si>
    <t>Make sure to name all ranges before creating formulas and setting up solver.</t>
  </si>
  <si>
    <t>Remember to clear decision variable values before re-running the Solver model for a different objective.</t>
  </si>
  <si>
    <t>INVESTMENT</t>
  </si>
  <si>
    <t>Options</t>
  </si>
  <si>
    <t>Selected</t>
  </si>
  <si>
    <t>Allocation</t>
  </si>
  <si>
    <t>Investment</t>
  </si>
  <si>
    <t>Return Rate</t>
  </si>
  <si>
    <t>Risk Rate</t>
  </si>
  <si>
    <t>Textiles</t>
  </si>
  <si>
    <t>Steel</t>
  </si>
  <si>
    <t>Technology</t>
  </si>
  <si>
    <t>RealEstate</t>
  </si>
  <si>
    <t>Transportation</t>
  </si>
  <si>
    <t>Total Selected</t>
  </si>
  <si>
    <t>Min Allocation</t>
  </si>
  <si>
    <t>Total Invested</t>
  </si>
  <si>
    <t>Expected Profit</t>
  </si>
  <si>
    <t>Min to Select</t>
  </si>
  <si>
    <t>Max Allocation</t>
  </si>
  <si>
    <t>Expected Returns</t>
  </si>
  <si>
    <t>Expected Risk</t>
  </si>
  <si>
    <t>Max Exp Returns</t>
  </si>
  <si>
    <t>Min Exp Risk</t>
  </si>
  <si>
    <t>Create a decision model for an investment problem. You are given return rate and risk rate, min/max allocatino per investment, and min number to select.</t>
  </si>
  <si>
    <t>Compare the Solver solution when the objective is to Max Expected Returns versus the solution when the objective is to Min Expected Risk.</t>
  </si>
  <si>
    <t>Record the Expected Profit for each objective function solution. Which investment strategy results in higher profit?</t>
  </si>
  <si>
    <t>Decision Variables = Project Selected? (binary) and also Investment Amount</t>
  </si>
  <si>
    <t>Expected Returns = Return Rate * Investment Amount</t>
  </si>
  <si>
    <t>Expected Risk = Risk Rate * Investment Amount</t>
  </si>
  <si>
    <t>Expected Profit = Expected Returns - Expected Risk</t>
  </si>
  <si>
    <t>Total Investment Amount &lt;= Available Funds</t>
  </si>
  <si>
    <t>Total number projects selected &gt;= min to select</t>
  </si>
  <si>
    <t>Allocation amount &gt;= min and &lt;= max</t>
  </si>
  <si>
    <t>Profit = revenue - costs</t>
  </si>
  <si>
    <t>Profit = returns - risk</t>
  </si>
  <si>
    <t>Practice 16-3</t>
  </si>
  <si>
    <t>Practice 16-2</t>
  </si>
  <si>
    <t>Practice 16-1</t>
  </si>
  <si>
    <t>SHIPPING</t>
  </si>
  <si>
    <t>Total Shipped</t>
  </si>
  <si>
    <t>WH 1</t>
  </si>
  <si>
    <t>WH 2</t>
  </si>
  <si>
    <t>Total To City</t>
  </si>
  <si>
    <t>Total Demand</t>
  </si>
  <si>
    <t>Unit Shipping Cost</t>
  </si>
  <si>
    <t>Alexandria</t>
  </si>
  <si>
    <t>Bburg</t>
  </si>
  <si>
    <t>Cburg</t>
  </si>
  <si>
    <t>Roanoke</t>
  </si>
  <si>
    <t>Salem</t>
  </si>
  <si>
    <t>Vienna</t>
  </si>
  <si>
    <t>Total From WH</t>
  </si>
  <si>
    <t>Available Supply</t>
  </si>
  <si>
    <t>total shipped from warehouse &lt;= supply available</t>
  </si>
  <si>
    <t>shippment amount integer, &gt;= 0</t>
  </si>
  <si>
    <t>Total Ship Cost</t>
  </si>
  <si>
    <t>Unmet Demand</t>
  </si>
  <si>
    <t>Total Unmet Penalty</t>
  </si>
  <si>
    <t>Unmet Penalty</t>
  </si>
  <si>
    <t>Total Overall Cost</t>
  </si>
  <si>
    <t>unmet demand = total demand - total to city</t>
  </si>
  <si>
    <t>minimize total costs = sumproduct(costs, shipped amount) + sumproduct(unmet penalty, unmet demand)</t>
  </si>
  <si>
    <t>Create an application to solve a dynamic shipping decision model.</t>
  </si>
  <si>
    <t>The problem includes supply constriants for each WH and unmet demand penalties for each city. Minimize overall total costs = shipping + unmet penalty costs.</t>
  </si>
  <si>
    <t>#1 Create dynamic application in VBA to run Excel Solver model.</t>
  </si>
  <si>
    <t>Use model notes below to setup formulas and the Solver model in Excel.</t>
  </si>
  <si>
    <t>Use VBA to ask the user for the Top Priority City. Set this city's unmet demand penalty to $30 (leave all other cities at $15).</t>
  </si>
  <si>
    <t>Add a conditional formatting rule (in Excel) to highlight table rows for cities with unmet demand.</t>
  </si>
  <si>
    <t>Let the user know if no solution could be found. Otherwise report minimal overall cost solution value.</t>
  </si>
  <si>
    <t>unmet demand &lt;= 50</t>
  </si>
  <si>
    <t>Assignment</t>
  </si>
  <si>
    <t>City</t>
  </si>
  <si>
    <t>Delivered</t>
  </si>
  <si>
    <t>Demand</t>
  </si>
  <si>
    <t>Total Load</t>
  </si>
  <si>
    <t>Number Stops</t>
  </si>
  <si>
    <t>Truck Load = sumproduct(assigned city, city delivery units)</t>
  </si>
  <si>
    <t>City Delivered  = sum truck assignments per city</t>
  </si>
  <si>
    <t>Truck</t>
  </si>
  <si>
    <t>Train</t>
  </si>
  <si>
    <t>Plane</t>
  </si>
  <si>
    <t>Unit Cost</t>
  </si>
  <si>
    <t>Time/Stop</t>
  </si>
  <si>
    <t>Total Travel Cost</t>
  </si>
  <si>
    <t>Total Travel Time</t>
  </si>
  <si>
    <t>Max Cost</t>
  </si>
  <si>
    <t>Max Time</t>
  </si>
  <si>
    <t>City Delivered = 1</t>
  </si>
  <si>
    <t>Total Travel Cost = sumproduct(total load, unit cost)</t>
  </si>
  <si>
    <t>Total Travel Time = sumproduct(number stops, time/stop)</t>
  </si>
  <si>
    <t>total cost &lt; max cost</t>
  </si>
  <si>
    <t>total time &lt; max time</t>
  </si>
  <si>
    <t>Create an application to solve a dynamic assignment problem for three different travel choices.</t>
  </si>
  <si>
    <t>You are given unit cost and time/stop for each travel method. Let the user either minimize total travel cost or total travel time.</t>
  </si>
  <si>
    <t>Use the given model notes to setup the formulas and Solver model in Excel.</t>
  </si>
  <si>
    <t>Use VBA to ask the user if they want to minimize total travel Cost or Time and modify the objective function range dynamically.</t>
  </si>
  <si>
    <t>If a solution was found, report the total number of stops for each travel option.</t>
  </si>
  <si>
    <t>If they want to minimize Cost, ask them for maximum Time Limit. If they want to minimize Time, ask them for maximum Cost Limist.</t>
  </si>
  <si>
    <t>If no solution could be found, ask them if they want to try different input and prompt them for the max limit value again and re-solve.</t>
  </si>
  <si>
    <t>Routing</t>
  </si>
  <si>
    <t>Force Mid Point Stops</t>
  </si>
  <si>
    <t>No Route Loops</t>
  </si>
  <si>
    <t>y&lt;=n</t>
  </si>
  <si>
    <t>From</t>
  </si>
  <si>
    <t>To</t>
  </si>
  <si>
    <t>Route</t>
  </si>
  <si>
    <t>Path Cost</t>
  </si>
  <si>
    <t>Nodes</t>
  </si>
  <si>
    <t>Node From-To</t>
  </si>
  <si>
    <t>Start-End</t>
  </si>
  <si>
    <t>Node To</t>
  </si>
  <si>
    <t>Mid Points</t>
  </si>
  <si>
    <r>
      <t xml:space="preserve">yFrom - yTo + 1 </t>
    </r>
    <r>
      <rPr>
        <b/>
        <i/>
        <u/>
        <sz val="11"/>
        <color theme="1"/>
        <rFont val="Calibri"/>
        <family val="2"/>
        <scheme val="minor"/>
      </rPr>
      <t>&lt;</t>
    </r>
    <r>
      <rPr>
        <b/>
        <i/>
        <sz val="11"/>
        <color theme="1"/>
        <rFont val="Calibri"/>
        <family val="2"/>
        <scheme val="minor"/>
      </rPr>
      <t xml:space="preserve"> (n-1)*(1-x)</t>
    </r>
  </si>
  <si>
    <t>Nodes (n)</t>
  </si>
  <si>
    <t>Route Order (y)</t>
  </si>
  <si>
    <t>WH-start</t>
  </si>
  <si>
    <t>WH-end</t>
  </si>
  <si>
    <t>network flow = sum assignment from - sum assignment to</t>
  </si>
  <si>
    <t>start node = 1, finish node = -1</t>
  </si>
  <si>
    <t>assigned = binary</t>
  </si>
  <si>
    <t>node to flow = mid point and end point (1)</t>
  </si>
  <si>
    <t>Route Order decision variable (y)</t>
  </si>
  <si>
    <t>yFrom - yTo + 1 &lt;= (n-1)*(1-x)</t>
  </si>
  <si>
    <t>n=number of nodes</t>
  </si>
  <si>
    <t>x=route selection</t>
  </si>
  <si>
    <t>Total Path Cost</t>
  </si>
  <si>
    <t>Create an application to solve a dynamic routing problem for any given start and end cities.</t>
  </si>
  <si>
    <t>Use the given path costs. Ask the user for start/end cities and find route with minimum total path cost.</t>
  </si>
  <si>
    <t>Use the given model notes to set up all formulas and Solver in Excel.</t>
  </si>
  <si>
    <t>Use VBA to ask the user for any start city and any end city.</t>
  </si>
  <si>
    <t>Ask the user for number of midpoints and prompt for each midpoint city stop.</t>
  </si>
  <si>
    <t>Find the path with the minimal total cost.</t>
  </si>
  <si>
    <t xml:space="preserve">min total path cost = sumproduct(assigned, path cost) </t>
  </si>
  <si>
    <t>**Trendline Chart</t>
  </si>
  <si>
    <t>**Histogram Chart</t>
  </si>
  <si>
    <t>BIT 3424</t>
  </si>
  <si>
    <t>Dr. Şeref</t>
  </si>
  <si>
    <t>Student Name:</t>
  </si>
  <si>
    <t>Unique File ID:</t>
  </si>
  <si>
    <t>First Open:</t>
  </si>
  <si>
    <t>Honor Policy:</t>
  </si>
  <si>
    <t>I swear to uphold the Virginia Tech Honor Policy (as specified in the course syllabus).</t>
  </si>
  <si>
    <t>I will not copy another student's file.</t>
  </si>
  <si>
    <t>I will not share my file with another student.</t>
  </si>
  <si>
    <t>Student Initial:</t>
  </si>
  <si>
    <t>unmet demand &gt;= 0</t>
  </si>
  <si>
    <t>Solver method: Nonlinear (sensitive to starting values)</t>
  </si>
  <si>
    <t>Solver method: Evolutionary</t>
  </si>
  <si>
    <t>Solver method: Simplex</t>
  </si>
  <si>
    <t>zain qadri</t>
  </si>
  <si>
    <t>done</t>
  </si>
  <si>
    <t>zq</t>
  </si>
  <si>
    <t>Mean</t>
  </si>
  <si>
    <t>Standard Error</t>
  </si>
  <si>
    <t>Median</t>
  </si>
  <si>
    <t>Mode</t>
  </si>
  <si>
    <t>Standard Deviation</t>
  </si>
  <si>
    <t>Sample Variance</t>
  </si>
  <si>
    <t>Kurtosis</t>
  </si>
  <si>
    <t>Skewness</t>
  </si>
  <si>
    <t>Range</t>
  </si>
  <si>
    <t>Minimum</t>
  </si>
  <si>
    <t>Maximum</t>
  </si>
  <si>
    <t>Sum</t>
  </si>
  <si>
    <t>Count</t>
  </si>
  <si>
    <t>Bin</t>
  </si>
  <si>
    <t>More</t>
  </si>
  <si>
    <t>Frequency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</si>
</sst>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i/>
      <sz val="14"/>
      <color theme="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10"/>
      <name val="Arial"/>
      <family val="2"/>
    </font>
    <font>
      <b/>
      <sz val="16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theme="3"/>
      <name val="Arial"/>
      <family val="2"/>
    </font>
    <font>
      <i/>
      <sz val="12"/>
      <name val="Arial"/>
      <family val="2"/>
    </font>
    <font>
      <b/>
      <i/>
      <sz val="12"/>
      <color theme="5" tint="0.39997558519241921"/>
      <name val="Arial"/>
      <family val="2"/>
    </font>
    <font>
      <sz val="12"/>
      <color theme="5" tint="0.39997558519241921"/>
      <name val="Arial"/>
      <family val="2"/>
    </font>
    <font>
      <i/>
      <sz val="12"/>
      <color theme="5" tint="0.39997558519241921"/>
      <name val="Arial"/>
      <family val="2"/>
    </font>
    <font>
      <sz val="12"/>
      <color theme="0" tint="-0.34998626667073579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9" fillId="0" borderId="0"/>
  </cellStyleXfs>
  <cellXfs count="10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/>
    <xf numFmtId="0" fontId="0" fillId="0" borderId="0" xfId="0" applyAlignment="1">
      <alignment horizontal="right"/>
    </xf>
    <xf numFmtId="0" fontId="3" fillId="2" borderId="1" xfId="0" applyFont="1" applyFill="1" applyBorder="1"/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horizontal="left"/>
    </xf>
    <xf numFmtId="0" fontId="1" fillId="3" borderId="0" xfId="0" applyFont="1" applyFill="1"/>
    <xf numFmtId="0" fontId="0" fillId="3" borderId="0" xfId="0" applyFill="1"/>
    <xf numFmtId="0" fontId="0" fillId="3" borderId="0" xfId="0" applyFill="1" applyAlignment="1">
      <alignment horizontal="left"/>
    </xf>
    <xf numFmtId="0" fontId="4" fillId="4" borderId="2" xfId="0" applyFont="1" applyFill="1" applyBorder="1"/>
    <xf numFmtId="0" fontId="0" fillId="4" borderId="2" xfId="0" applyFill="1" applyBorder="1"/>
    <xf numFmtId="0" fontId="0" fillId="4" borderId="2" xfId="0" applyFill="1" applyBorder="1" applyAlignment="1">
      <alignment horizontal="left"/>
    </xf>
    <xf numFmtId="0" fontId="0" fillId="0" borderId="0" xfId="0" applyAlignment="1">
      <alignment horizontal="left"/>
    </xf>
    <xf numFmtId="0" fontId="4" fillId="5" borderId="0" xfId="0" applyFont="1" applyFill="1"/>
    <xf numFmtId="0" fontId="0" fillId="5" borderId="0" xfId="0" applyFill="1"/>
    <xf numFmtId="0" fontId="0" fillId="5" borderId="0" xfId="0" applyFill="1" applyAlignment="1">
      <alignment horizontal="left"/>
    </xf>
    <xf numFmtId="0" fontId="5" fillId="5" borderId="0" xfId="0" applyFont="1" applyFill="1"/>
    <xf numFmtId="0" fontId="3" fillId="6" borderId="0" xfId="0" applyFont="1" applyFill="1"/>
    <xf numFmtId="0" fontId="6" fillId="6" borderId="0" xfId="0" applyFont="1" applyFill="1"/>
    <xf numFmtId="0" fontId="0" fillId="0" borderId="3" xfId="0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3" xfId="0" applyBorder="1"/>
    <xf numFmtId="0" fontId="0" fillId="7" borderId="3" xfId="0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5" fillId="8" borderId="3" xfId="0" applyFont="1" applyFill="1" applyBorder="1" applyAlignment="1">
      <alignment horizontal="center"/>
    </xf>
    <xf numFmtId="164" fontId="0" fillId="5" borderId="3" xfId="0" applyNumberFormat="1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1" fillId="9" borderId="3" xfId="0" applyFont="1" applyFill="1" applyBorder="1"/>
    <xf numFmtId="0" fontId="1" fillId="10" borderId="3" xfId="0" applyFont="1" applyFill="1" applyBorder="1"/>
    <xf numFmtId="0" fontId="0" fillId="0" borderId="4" xfId="0" applyBorder="1"/>
    <xf numFmtId="0" fontId="0" fillId="11" borderId="5" xfId="0" applyFill="1" applyBorder="1"/>
    <xf numFmtId="0" fontId="0" fillId="11" borderId="6" xfId="0" applyFill="1" applyBorder="1"/>
    <xf numFmtId="0" fontId="0" fillId="11" borderId="7" xfId="0" applyFill="1" applyBorder="1"/>
    <xf numFmtId="0" fontId="4" fillId="10" borderId="0" xfId="0" applyFont="1" applyFill="1"/>
    <xf numFmtId="0" fontId="4" fillId="10" borderId="0" xfId="0" applyFont="1" applyFill="1" applyAlignment="1">
      <alignment horizontal="right"/>
    </xf>
    <xf numFmtId="0" fontId="4" fillId="12" borderId="8" xfId="0" applyFont="1" applyFill="1" applyBorder="1" applyAlignment="1">
      <alignment horizontal="center"/>
    </xf>
    <xf numFmtId="0" fontId="0" fillId="0" borderId="9" xfId="0" applyBorder="1"/>
    <xf numFmtId="0" fontId="5" fillId="0" borderId="8" xfId="0" applyFont="1" applyBorder="1" applyAlignment="1">
      <alignment horizontal="center"/>
    </xf>
    <xf numFmtId="0" fontId="5" fillId="12" borderId="8" xfId="0" applyFont="1" applyFill="1" applyBorder="1" applyAlignment="1">
      <alignment horizontal="center"/>
    </xf>
    <xf numFmtId="10" fontId="0" fillId="0" borderId="3" xfId="0" applyNumberFormat="1" applyBorder="1" applyAlignment="1">
      <alignment horizontal="center"/>
    </xf>
    <xf numFmtId="0" fontId="1" fillId="7" borderId="3" xfId="0" applyFont="1" applyFill="1" applyBorder="1"/>
    <xf numFmtId="0" fontId="1" fillId="3" borderId="3" xfId="0" applyFont="1" applyFill="1" applyBorder="1" applyAlignment="1">
      <alignment horizontal="right"/>
    </xf>
    <xf numFmtId="1" fontId="0" fillId="13" borderId="3" xfId="0" applyNumberFormat="1" applyFill="1" applyBorder="1" applyAlignment="1">
      <alignment horizontal="center"/>
    </xf>
    <xf numFmtId="0" fontId="5" fillId="0" borderId="0" xfId="0" applyFont="1"/>
    <xf numFmtId="164" fontId="0" fillId="15" borderId="3" xfId="0" applyNumberFormat="1" applyFill="1" applyBorder="1" applyAlignment="1">
      <alignment horizontal="center"/>
    </xf>
    <xf numFmtId="10" fontId="0" fillId="14" borderId="3" xfId="0" applyNumberFormat="1" applyFill="1" applyBorder="1" applyAlignment="1">
      <alignment horizontal="center"/>
    </xf>
    <xf numFmtId="2" fontId="0" fillId="5" borderId="3" xfId="0" applyNumberFormat="1" applyFill="1" applyBorder="1" applyAlignment="1">
      <alignment horizontal="center"/>
    </xf>
    <xf numFmtId="1" fontId="0" fillId="5" borderId="3" xfId="0" applyNumberFormat="1" applyFill="1" applyBorder="1" applyAlignment="1">
      <alignment horizontal="center"/>
    </xf>
    <xf numFmtId="0" fontId="1" fillId="7" borderId="3" xfId="0" applyFont="1" applyFill="1" applyBorder="1" applyAlignment="1">
      <alignment horizontal="left"/>
    </xf>
    <xf numFmtId="0" fontId="1" fillId="3" borderId="3" xfId="0" applyFont="1" applyFill="1" applyBorder="1" applyAlignment="1">
      <alignment horizontal="left"/>
    </xf>
    <xf numFmtId="164" fontId="1" fillId="15" borderId="3" xfId="0" applyNumberFormat="1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left"/>
    </xf>
    <xf numFmtId="10" fontId="5" fillId="14" borderId="3" xfId="0" applyNumberFormat="1" applyFont="1" applyFill="1" applyBorder="1" applyAlignment="1">
      <alignment horizontal="center"/>
    </xf>
    <xf numFmtId="0" fontId="5" fillId="6" borderId="3" xfId="0" applyFont="1" applyFill="1" applyBorder="1" applyAlignment="1">
      <alignment horizontal="center"/>
    </xf>
    <xf numFmtId="0" fontId="0" fillId="9" borderId="0" xfId="0" applyFill="1"/>
    <xf numFmtId="0" fontId="3" fillId="10" borderId="11" xfId="0" applyFont="1" applyFill="1" applyBorder="1"/>
    <xf numFmtId="0" fontId="3" fillId="10" borderId="0" xfId="0" applyFont="1" applyFill="1"/>
    <xf numFmtId="0" fontId="0" fillId="11" borderId="3" xfId="0" applyFill="1" applyBorder="1" applyAlignment="1">
      <alignment horizontal="center"/>
    </xf>
    <xf numFmtId="0" fontId="1" fillId="3" borderId="3" xfId="0" applyFont="1" applyFill="1" applyBorder="1"/>
    <xf numFmtId="164" fontId="0" fillId="9" borderId="3" xfId="0" applyNumberFormat="1" applyFill="1" applyBorder="1" applyAlignment="1">
      <alignment horizontal="center"/>
    </xf>
    <xf numFmtId="164" fontId="0" fillId="11" borderId="3" xfId="0" applyNumberFormat="1" applyFill="1" applyBorder="1" applyAlignment="1">
      <alignment horizontal="center"/>
    </xf>
    <xf numFmtId="164" fontId="0" fillId="16" borderId="3" xfId="0" applyNumberFormat="1" applyFill="1" applyBorder="1" applyAlignment="1">
      <alignment horizontal="center"/>
    </xf>
    <xf numFmtId="1" fontId="0" fillId="11" borderId="3" xfId="0" applyNumberFormat="1" applyFill="1" applyBorder="1" applyAlignment="1">
      <alignment horizontal="center"/>
    </xf>
    <xf numFmtId="9" fontId="0" fillId="5" borderId="3" xfId="1" applyFont="1" applyFill="1" applyBorder="1" applyAlignment="1">
      <alignment horizontal="center"/>
    </xf>
    <xf numFmtId="10" fontId="0" fillId="5" borderId="3" xfId="1" applyNumberFormat="1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10" borderId="12" xfId="0" applyFont="1" applyFill="1" applyBorder="1"/>
    <xf numFmtId="0" fontId="1" fillId="10" borderId="1" xfId="0" applyFont="1" applyFill="1" applyBorder="1"/>
    <xf numFmtId="2" fontId="0" fillId="9" borderId="3" xfId="0" applyNumberFormat="1" applyFill="1" applyBorder="1" applyAlignment="1">
      <alignment horizontal="center"/>
    </xf>
    <xf numFmtId="164" fontId="0" fillId="12" borderId="3" xfId="0" applyNumberFormat="1" applyFill="1" applyBorder="1" applyAlignment="1">
      <alignment horizontal="center"/>
    </xf>
    <xf numFmtId="2" fontId="0" fillId="12" borderId="3" xfId="0" applyNumberFormat="1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Alignment="1">
      <alignment horizontal="center"/>
    </xf>
    <xf numFmtId="0" fontId="4" fillId="4" borderId="13" xfId="0" applyFont="1" applyFill="1" applyBorder="1"/>
    <xf numFmtId="0" fontId="4" fillId="4" borderId="1" xfId="0" applyFont="1" applyFill="1" applyBorder="1"/>
    <xf numFmtId="0" fontId="0" fillId="4" borderId="0" xfId="0" applyFill="1"/>
    <xf numFmtId="0" fontId="5" fillId="5" borderId="3" xfId="0" applyFont="1" applyFill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10" fillId="17" borderId="0" xfId="2" applyFont="1" applyFill="1"/>
    <xf numFmtId="0" fontId="11" fillId="17" borderId="0" xfId="2" applyFont="1" applyFill="1"/>
    <xf numFmtId="0" fontId="12" fillId="17" borderId="0" xfId="2" applyFont="1" applyFill="1"/>
    <xf numFmtId="0" fontId="14" fillId="19" borderId="0" xfId="2" applyFont="1" applyFill="1" applyAlignment="1">
      <alignment horizontal="left"/>
    </xf>
    <xf numFmtId="0" fontId="15" fillId="17" borderId="0" xfId="2" applyFont="1" applyFill="1"/>
    <xf numFmtId="0" fontId="16" fillId="17" borderId="0" xfId="2" applyFont="1" applyFill="1"/>
    <xf numFmtId="0" fontId="17" fillId="17" borderId="0" xfId="2" applyFont="1" applyFill="1" applyAlignment="1">
      <alignment horizontal="left"/>
    </xf>
    <xf numFmtId="0" fontId="18" fillId="17" borderId="0" xfId="2" applyFont="1" applyFill="1"/>
    <xf numFmtId="0" fontId="14" fillId="17" borderId="0" xfId="2" applyFont="1" applyFill="1"/>
    <xf numFmtId="0" fontId="13" fillId="18" borderId="3" xfId="2" applyFont="1" applyFill="1" applyBorder="1" applyAlignment="1" applyProtection="1">
      <alignment horizontal="left"/>
      <protection locked="0"/>
    </xf>
    <xf numFmtId="0" fontId="4" fillId="0" borderId="0" xfId="0" applyFont="1"/>
    <xf numFmtId="0" fontId="5" fillId="0" borderId="8" xfId="0" applyFont="1" applyBorder="1" applyAlignment="1">
      <alignment horizontal="centerContinuous"/>
    </xf>
    <xf numFmtId="1" fontId="0" fillId="0" borderId="0" xfId="0" applyNumberFormat="1"/>
    <xf numFmtId="10" fontId="0" fillId="0" borderId="0" xfId="0" applyNumberFormat="1"/>
    <xf numFmtId="0" fontId="13" fillId="18" borderId="5" xfId="2" applyFont="1" applyFill="1" applyBorder="1" applyAlignment="1" applyProtection="1">
      <alignment horizontal="left"/>
      <protection locked="0"/>
    </xf>
    <xf numFmtId="0" fontId="13" fillId="18" borderId="6" xfId="2" applyFont="1" applyFill="1" applyBorder="1" applyAlignment="1" applyProtection="1">
      <alignment horizontal="left"/>
      <protection locked="0"/>
    </xf>
    <xf numFmtId="0" fontId="13" fillId="18" borderId="7" xfId="2" applyFont="1" applyFill="1" applyBorder="1" applyAlignment="1" applyProtection="1">
      <alignment horizontal="left"/>
      <protection locked="0"/>
    </xf>
    <xf numFmtId="0" fontId="1" fillId="7" borderId="5" xfId="0" applyFont="1" applyFill="1" applyBorder="1" applyAlignment="1">
      <alignment horizontal="center"/>
    </xf>
    <xf numFmtId="0" fontId="1" fillId="7" borderId="7" xfId="0" applyFont="1" applyFill="1" applyBorder="1" applyAlignment="1">
      <alignment horizontal="center"/>
    </xf>
    <xf numFmtId="0" fontId="7" fillId="7" borderId="5" xfId="0" applyFont="1" applyFill="1" applyBorder="1" applyAlignment="1">
      <alignment horizontal="center"/>
    </xf>
    <xf numFmtId="0" fontId="7" fillId="7" borderId="6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</cellXfs>
  <cellStyles count="3">
    <cellStyle name="Normal" xfId="0" builtinId="0"/>
    <cellStyle name="Normal 2" xfId="2" xr:uid="{00000000-0005-0000-0000-000001000000}"/>
    <cellStyle name="Percent" xfId="1" builtinId="5"/>
  </cellStyles>
  <dxfs count="3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cat>
            <c:strRef>
              <c:f>'P13'!$L$20:$L$25</c:f>
              <c:strCache>
                <c:ptCount val="6"/>
                <c:pt idx="0">
                  <c:v>$7.00</c:v>
                </c:pt>
                <c:pt idx="1">
                  <c:v>$7.50</c:v>
                </c:pt>
                <c:pt idx="2">
                  <c:v>$8.00</c:v>
                </c:pt>
                <c:pt idx="3">
                  <c:v>$8.50</c:v>
                </c:pt>
                <c:pt idx="4">
                  <c:v>$9.00</c:v>
                </c:pt>
                <c:pt idx="5">
                  <c:v>More</c:v>
                </c:pt>
              </c:strCache>
            </c:strRef>
          </c:cat>
          <c:val>
            <c:numRef>
              <c:f>'P13'!$M$20:$M$25</c:f>
              <c:numCache>
                <c:formatCode>General</c:formatCode>
                <c:ptCount val="6"/>
                <c:pt idx="0">
                  <c:v>5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20-4A52-AE90-282BEA860D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2112031"/>
        <c:axId val="516624223"/>
      </c:barChart>
      <c:catAx>
        <c:axId val="21221120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16624223"/>
        <c:crosses val="autoZero"/>
        <c:auto val="1"/>
        <c:lblAlgn val="ctr"/>
        <c:lblOffset val="100"/>
        <c:noMultiLvlLbl val="0"/>
      </c:catAx>
      <c:valAx>
        <c:axId val="516624223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2211203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Price Differential (x) vs</a:t>
            </a:r>
            <a:r>
              <a:rPr lang="en-US" baseline="0"/>
              <a:t> Sales (y)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580927384076991E-2"/>
          <c:y val="0.17634259259259263"/>
          <c:w val="0.87437751531058616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strRef>
              <c:f>'P13'!$C$42</c:f>
              <c:strCache>
                <c:ptCount val="1"/>
                <c:pt idx="0">
                  <c:v>P1-Sales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2.3872484689413824E-2"/>
                  <c:y val="0.4069907407407407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'P13'!$B$43:$B$62</c:f>
              <c:numCache>
                <c:formatCode>"$"#,##0.00</c:formatCode>
                <c:ptCount val="20"/>
                <c:pt idx="0">
                  <c:v>2.1100000000000003</c:v>
                </c:pt>
                <c:pt idx="1">
                  <c:v>0.73999999999999932</c:v>
                </c:pt>
                <c:pt idx="2">
                  <c:v>1.33</c:v>
                </c:pt>
                <c:pt idx="3">
                  <c:v>2.9300000000000006</c:v>
                </c:pt>
                <c:pt idx="4">
                  <c:v>2.63</c:v>
                </c:pt>
                <c:pt idx="5">
                  <c:v>1.6099999999999994</c:v>
                </c:pt>
                <c:pt idx="6">
                  <c:v>0.15000000000000036</c:v>
                </c:pt>
                <c:pt idx="7">
                  <c:v>0.4399999999999995</c:v>
                </c:pt>
                <c:pt idx="8">
                  <c:v>0.10000000000000053</c:v>
                </c:pt>
                <c:pt idx="9">
                  <c:v>2.66</c:v>
                </c:pt>
                <c:pt idx="10">
                  <c:v>0.9300000000000006</c:v>
                </c:pt>
                <c:pt idx="11">
                  <c:v>2.42</c:v>
                </c:pt>
                <c:pt idx="12">
                  <c:v>1.88</c:v>
                </c:pt>
                <c:pt idx="13">
                  <c:v>0.1800000000000006</c:v>
                </c:pt>
                <c:pt idx="14">
                  <c:v>3.33</c:v>
                </c:pt>
                <c:pt idx="15">
                  <c:v>2.7699999999999996</c:v>
                </c:pt>
                <c:pt idx="16">
                  <c:v>2.95</c:v>
                </c:pt>
                <c:pt idx="17">
                  <c:v>1.3200000000000003</c:v>
                </c:pt>
                <c:pt idx="18">
                  <c:v>0.82000000000000028</c:v>
                </c:pt>
                <c:pt idx="19">
                  <c:v>1.8399999999999999</c:v>
                </c:pt>
              </c:numCache>
            </c:numRef>
          </c:xVal>
          <c:yVal>
            <c:numRef>
              <c:f>'P13'!$C$43:$C$62</c:f>
              <c:numCache>
                <c:formatCode>General</c:formatCode>
                <c:ptCount val="20"/>
                <c:pt idx="0">
                  <c:v>18</c:v>
                </c:pt>
                <c:pt idx="1">
                  <c:v>11</c:v>
                </c:pt>
                <c:pt idx="2">
                  <c:v>10</c:v>
                </c:pt>
                <c:pt idx="3">
                  <c:v>30</c:v>
                </c:pt>
                <c:pt idx="4">
                  <c:v>19</c:v>
                </c:pt>
                <c:pt idx="5">
                  <c:v>25</c:v>
                </c:pt>
                <c:pt idx="6">
                  <c:v>15</c:v>
                </c:pt>
                <c:pt idx="7">
                  <c:v>14</c:v>
                </c:pt>
                <c:pt idx="8">
                  <c:v>19</c:v>
                </c:pt>
                <c:pt idx="9">
                  <c:v>31</c:v>
                </c:pt>
                <c:pt idx="10">
                  <c:v>27</c:v>
                </c:pt>
                <c:pt idx="11">
                  <c:v>17</c:v>
                </c:pt>
                <c:pt idx="12">
                  <c:v>28</c:v>
                </c:pt>
                <c:pt idx="13">
                  <c:v>17</c:v>
                </c:pt>
                <c:pt idx="14">
                  <c:v>33</c:v>
                </c:pt>
                <c:pt idx="15">
                  <c:v>28</c:v>
                </c:pt>
                <c:pt idx="16">
                  <c:v>32</c:v>
                </c:pt>
                <c:pt idx="17">
                  <c:v>23</c:v>
                </c:pt>
                <c:pt idx="18">
                  <c:v>15</c:v>
                </c:pt>
                <c:pt idx="19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8E-4AA5-93B1-2E82529CDE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2115743"/>
        <c:axId val="294800047"/>
      </c:scatterChart>
      <c:valAx>
        <c:axId val="6321157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4800047"/>
        <c:crosses val="autoZero"/>
        <c:crossBetween val="midCat"/>
      </c:valAx>
      <c:valAx>
        <c:axId val="294800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1157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cat>
            <c:strRef>
              <c:f>'P14'!$K$38:$K$49</c:f>
              <c:strCache>
                <c:ptCount val="12"/>
                <c:pt idx="0">
                  <c:v>12</c:v>
                </c:pt>
                <c:pt idx="1">
                  <c:v>12.25</c:v>
                </c:pt>
                <c:pt idx="2">
                  <c:v>12.5</c:v>
                </c:pt>
                <c:pt idx="3">
                  <c:v>12.75</c:v>
                </c:pt>
                <c:pt idx="4">
                  <c:v>13</c:v>
                </c:pt>
                <c:pt idx="5">
                  <c:v>13.25</c:v>
                </c:pt>
                <c:pt idx="6">
                  <c:v>13.5</c:v>
                </c:pt>
                <c:pt idx="7">
                  <c:v>13.75</c:v>
                </c:pt>
                <c:pt idx="8">
                  <c:v>14</c:v>
                </c:pt>
                <c:pt idx="9">
                  <c:v>14.25</c:v>
                </c:pt>
                <c:pt idx="10">
                  <c:v>14.5</c:v>
                </c:pt>
                <c:pt idx="11">
                  <c:v>More</c:v>
                </c:pt>
              </c:strCache>
            </c:strRef>
          </c:cat>
          <c:val>
            <c:numRef>
              <c:f>'P14'!$L$38:$L$49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13</c:v>
                </c:pt>
                <c:pt idx="4">
                  <c:v>18</c:v>
                </c:pt>
                <c:pt idx="5">
                  <c:v>15</c:v>
                </c:pt>
                <c:pt idx="6">
                  <c:v>22</c:v>
                </c:pt>
                <c:pt idx="7">
                  <c:v>16</c:v>
                </c:pt>
                <c:pt idx="8">
                  <c:v>12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BC-4E9A-B540-906E15239E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8412416"/>
        <c:axId val="598409280"/>
      </c:barChart>
      <c:catAx>
        <c:axId val="598412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Price Intervals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98409280"/>
        <c:crosses val="autoZero"/>
        <c:auto val="1"/>
        <c:lblAlgn val="ctr"/>
        <c:lblOffset val="100"/>
        <c:noMultiLvlLbl val="0"/>
      </c:catAx>
      <c:valAx>
        <c:axId val="59840928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984124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83240</xdr:colOff>
      <xdr:row>28</xdr:row>
      <xdr:rowOff>8283</xdr:rowOff>
    </xdr:from>
    <xdr:to>
      <xdr:col>13</xdr:col>
      <xdr:colOff>240196</xdr:colOff>
      <xdr:row>37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267434-3E29-7238-2DAC-C6A2D99418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414130</xdr:colOff>
      <xdr:row>43</xdr:row>
      <xdr:rowOff>57150</xdr:rowOff>
    </xdr:from>
    <xdr:to>
      <xdr:col>15</xdr:col>
      <xdr:colOff>182217</xdr:colOff>
      <xdr:row>57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EDDCC51-317C-CF0D-4A54-81BDF689CF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265044</xdr:colOff>
      <xdr:row>29</xdr:row>
      <xdr:rowOff>107674</xdr:rowOff>
    </xdr:from>
    <xdr:to>
      <xdr:col>14</xdr:col>
      <xdr:colOff>265045</xdr:colOff>
      <xdr:row>31</xdr:row>
      <xdr:rowOff>140805</xdr:rowOff>
    </xdr:to>
    <xdr:sp macro="[0]!RunSim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9044609" y="4729370"/>
          <a:ext cx="1441175" cy="463826"/>
        </a:xfrm>
        <a:prstGeom prst="rect">
          <a:avLst/>
        </a:prstGeom>
        <a:solidFill>
          <a:schemeClr val="bg2">
            <a:lumMod val="5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Run Simulation</a:t>
          </a:r>
        </a:p>
      </xdr:txBody>
    </xdr:sp>
    <xdr:clientData/>
  </xdr:twoCellAnchor>
  <xdr:twoCellAnchor>
    <xdr:from>
      <xdr:col>12</xdr:col>
      <xdr:colOff>339174</xdr:colOff>
      <xdr:row>37</xdr:row>
      <xdr:rowOff>77029</xdr:rowOff>
    </xdr:from>
    <xdr:to>
      <xdr:col>16</xdr:col>
      <xdr:colOff>728870</xdr:colOff>
      <xdr:row>48</xdr:row>
      <xdr:rowOff>190500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248479</xdr:colOff>
      <xdr:row>12</xdr:row>
      <xdr:rowOff>99392</xdr:rowOff>
    </xdr:from>
    <xdr:to>
      <xdr:col>16</xdr:col>
      <xdr:colOff>240197</xdr:colOff>
      <xdr:row>14</xdr:row>
      <xdr:rowOff>182218</xdr:rowOff>
    </xdr:to>
    <xdr:sp macro="[0]!Shipping1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8738153" y="2435088"/>
          <a:ext cx="1482587" cy="463826"/>
        </a:xfrm>
        <a:prstGeom prst="rect">
          <a:avLst/>
        </a:prstGeom>
        <a:solidFill>
          <a:schemeClr val="bg2">
            <a:lumMod val="5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Solve Shipping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140803</xdr:colOff>
      <xdr:row>13</xdr:row>
      <xdr:rowOff>57978</xdr:rowOff>
    </xdr:from>
    <xdr:to>
      <xdr:col>11</xdr:col>
      <xdr:colOff>215346</xdr:colOff>
      <xdr:row>15</xdr:row>
      <xdr:rowOff>140804</xdr:rowOff>
    </xdr:to>
    <xdr:sp macro="[0]!Assignmen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381499" y="2393674"/>
          <a:ext cx="1515717" cy="463826"/>
        </a:xfrm>
        <a:prstGeom prst="rect">
          <a:avLst/>
        </a:prstGeom>
        <a:solidFill>
          <a:schemeClr val="bg2">
            <a:lumMod val="5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Solve Assignment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339587</xdr:colOff>
      <xdr:row>21</xdr:row>
      <xdr:rowOff>149087</xdr:rowOff>
    </xdr:from>
    <xdr:to>
      <xdr:col>9</xdr:col>
      <xdr:colOff>472108</xdr:colOff>
      <xdr:row>24</xdr:row>
      <xdr:rowOff>41413</xdr:rowOff>
    </xdr:to>
    <xdr:sp macro="[0]!Routing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6104283" y="4008783"/>
          <a:ext cx="1615108" cy="463826"/>
        </a:xfrm>
        <a:prstGeom prst="rect">
          <a:avLst/>
        </a:prstGeom>
        <a:solidFill>
          <a:schemeClr val="bg2">
            <a:lumMod val="5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Solve Routing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W3-star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ocumentation"/>
      <sheetName val="P9"/>
      <sheetName val="P10"/>
      <sheetName val="P11"/>
      <sheetName val="P12"/>
    </sheet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8"/>
  <dimension ref="B2:G16"/>
  <sheetViews>
    <sheetView showGridLines="0" showRowColHeaders="0" workbookViewId="0">
      <selection activeCell="D16" sqref="D16"/>
    </sheetView>
  </sheetViews>
  <sheetFormatPr defaultColWidth="9.140625" defaultRowHeight="15" x14ac:dyDescent="0.2"/>
  <cols>
    <col min="1" max="16384" width="9.140625" style="85"/>
  </cols>
  <sheetData>
    <row r="2" spans="2:7" ht="20.25" x14ac:dyDescent="0.3">
      <c r="B2" s="84" t="s">
        <v>258</v>
      </c>
    </row>
    <row r="3" spans="2:7" ht="20.25" x14ac:dyDescent="0.3">
      <c r="B3" s="84" t="s">
        <v>259</v>
      </c>
    </row>
    <row r="4" spans="2:7" ht="15.75" x14ac:dyDescent="0.25">
      <c r="B4" s="86"/>
    </row>
    <row r="5" spans="2:7" ht="15.75" x14ac:dyDescent="0.25">
      <c r="B5" s="86" t="s">
        <v>260</v>
      </c>
      <c r="D5" s="98" t="s">
        <v>272</v>
      </c>
      <c r="E5" s="99"/>
      <c r="F5" s="99"/>
      <c r="G5" s="100"/>
    </row>
    <row r="6" spans="2:7" ht="15.75" x14ac:dyDescent="0.25">
      <c r="B6" s="86"/>
    </row>
    <row r="7" spans="2:7" ht="15.75" x14ac:dyDescent="0.25">
      <c r="B7" s="86" t="s">
        <v>261</v>
      </c>
      <c r="D7" s="87">
        <v>24099</v>
      </c>
    </row>
    <row r="8" spans="2:7" x14ac:dyDescent="0.2">
      <c r="B8" s="88" t="s">
        <v>262</v>
      </c>
      <c r="C8" s="89"/>
      <c r="D8" s="90" t="s">
        <v>273</v>
      </c>
    </row>
    <row r="9" spans="2:7" x14ac:dyDescent="0.2">
      <c r="B9" s="88"/>
      <c r="C9" s="89"/>
      <c r="D9" s="90"/>
    </row>
    <row r="10" spans="2:7" x14ac:dyDescent="0.2">
      <c r="B10" s="91"/>
      <c r="C10" s="91"/>
      <c r="D10" s="91"/>
    </row>
    <row r="11" spans="2:7" ht="15.75" x14ac:dyDescent="0.25">
      <c r="B11" s="86" t="s">
        <v>263</v>
      </c>
    </row>
    <row r="12" spans="2:7" x14ac:dyDescent="0.2">
      <c r="B12" s="92" t="s">
        <v>264</v>
      </c>
    </row>
    <row r="13" spans="2:7" x14ac:dyDescent="0.2">
      <c r="B13" s="92" t="s">
        <v>265</v>
      </c>
    </row>
    <row r="14" spans="2:7" x14ac:dyDescent="0.2">
      <c r="B14" s="92" t="s">
        <v>266</v>
      </c>
    </row>
    <row r="16" spans="2:7" ht="15.75" x14ac:dyDescent="0.25">
      <c r="B16" s="86" t="s">
        <v>267</v>
      </c>
      <c r="D16" s="93" t="s">
        <v>274</v>
      </c>
    </row>
  </sheetData>
  <sheetProtection algorithmName="SHA-512" hashValue="JTU/UTXpowqH27CNfnElNKIbcEnC3y7XrBA83OqdU39UeUPH/j4kd+K3Fxb8WdNRYFkX0K+K/yeBVwQU9GtFMA==" saltValue="qBSHZmQrUJbZUJjxE+unRw==" spinCount="100000" sheet="1" objects="1" scenarios="1" selectLockedCells="1"/>
  <mergeCells count="1">
    <mergeCell ref="D5:G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67"/>
  <sheetViews>
    <sheetView topLeftCell="A36" zoomScale="115" zoomScaleNormal="115" workbookViewId="0">
      <selection activeCell="F43" sqref="F43:F62"/>
    </sheetView>
  </sheetViews>
  <sheetFormatPr defaultColWidth="3.7109375" defaultRowHeight="15" x14ac:dyDescent="0.25"/>
  <cols>
    <col min="1" max="1" width="8.42578125" customWidth="1"/>
    <col min="2" max="5" width="15.7109375" customWidth="1"/>
    <col min="6" max="6" width="21" bestFit="1" customWidth="1"/>
    <col min="7" max="7" width="18.140625" bestFit="1" customWidth="1"/>
    <col min="8" max="8" width="17.28515625" customWidth="1"/>
    <col min="9" max="9" width="13.85546875" bestFit="1" customWidth="1"/>
    <col min="10" max="10" width="14" bestFit="1" customWidth="1"/>
    <col min="11" max="11" width="5.7109375" customWidth="1"/>
    <col min="12" max="13" width="15.42578125" customWidth="1"/>
    <col min="14" max="14" width="17.7109375" bestFit="1" customWidth="1"/>
  </cols>
  <sheetData>
    <row r="1" spans="1:14" ht="18.75" x14ac:dyDescent="0.3">
      <c r="A1" s="6" t="s">
        <v>16</v>
      </c>
      <c r="B1" s="8"/>
      <c r="C1" s="8"/>
      <c r="D1" s="8"/>
      <c r="E1" s="9"/>
      <c r="F1" s="7"/>
      <c r="G1" s="8"/>
      <c r="H1" s="8"/>
      <c r="I1" s="8"/>
      <c r="J1" s="8"/>
      <c r="K1" s="8"/>
      <c r="L1" s="8"/>
      <c r="M1" s="8"/>
      <c r="N1" s="8"/>
    </row>
    <row r="2" spans="1:14" x14ac:dyDescent="0.25">
      <c r="A2" s="10" t="s">
        <v>32</v>
      </c>
      <c r="B2" s="11"/>
      <c r="C2" s="11"/>
      <c r="D2" s="11"/>
      <c r="E2" s="12"/>
      <c r="F2" s="11"/>
      <c r="G2" s="11"/>
      <c r="H2" s="11"/>
      <c r="I2" s="11"/>
      <c r="J2" s="11"/>
      <c r="K2" s="11"/>
      <c r="L2" s="11"/>
      <c r="M2" s="11"/>
      <c r="N2" s="11"/>
    </row>
    <row r="3" spans="1:14" x14ac:dyDescent="0.25">
      <c r="A3" s="10" t="s">
        <v>33</v>
      </c>
      <c r="B3" s="11"/>
      <c r="C3" s="11"/>
      <c r="D3" s="11"/>
      <c r="E3" s="12"/>
      <c r="F3" s="11"/>
      <c r="G3" s="11"/>
      <c r="H3" s="11"/>
      <c r="I3" s="11"/>
      <c r="J3" s="11"/>
      <c r="K3" s="11"/>
      <c r="L3" s="11"/>
      <c r="M3" s="11"/>
      <c r="N3" s="11"/>
    </row>
    <row r="4" spans="1:14" x14ac:dyDescent="0.25">
      <c r="A4" s="13" t="s">
        <v>38</v>
      </c>
      <c r="B4" s="14"/>
      <c r="C4" s="14"/>
      <c r="D4" s="14"/>
      <c r="E4" s="15"/>
      <c r="F4" s="14"/>
      <c r="G4" s="14"/>
      <c r="H4" s="14"/>
      <c r="I4" s="14"/>
      <c r="J4" s="14"/>
      <c r="K4" s="14"/>
      <c r="L4" s="14"/>
      <c r="M4" s="14"/>
      <c r="N4" s="14"/>
    </row>
    <row r="5" spans="1:14" x14ac:dyDescent="0.25">
      <c r="E5" s="16"/>
    </row>
    <row r="6" spans="1:14" x14ac:dyDescent="0.25">
      <c r="A6" s="17" t="s">
        <v>34</v>
      </c>
      <c r="B6" s="18"/>
      <c r="C6" s="18"/>
      <c r="D6" s="18"/>
      <c r="E6" s="19"/>
      <c r="F6" s="18"/>
      <c r="G6" s="18"/>
      <c r="H6" s="18"/>
      <c r="I6" s="18"/>
      <c r="J6" s="18"/>
      <c r="K6" s="18"/>
      <c r="L6" s="18"/>
      <c r="M6" s="18"/>
      <c r="N6" s="18"/>
    </row>
    <row r="7" spans="1:14" x14ac:dyDescent="0.25">
      <c r="A7" s="17" t="s">
        <v>35</v>
      </c>
      <c r="B7" s="18"/>
      <c r="C7" s="18"/>
      <c r="D7" s="18"/>
      <c r="E7" s="19"/>
      <c r="F7" s="18"/>
      <c r="G7" s="18"/>
      <c r="H7" s="18"/>
      <c r="I7" s="18"/>
      <c r="J7" s="18"/>
      <c r="K7" s="18"/>
      <c r="L7" s="18"/>
      <c r="M7" s="18"/>
      <c r="N7" s="18"/>
    </row>
    <row r="8" spans="1:14" x14ac:dyDescent="0.25">
      <c r="A8" s="17" t="s">
        <v>36</v>
      </c>
      <c r="B8" s="18"/>
      <c r="C8" s="18"/>
      <c r="D8" s="18"/>
      <c r="E8" s="19"/>
      <c r="F8" s="18"/>
      <c r="G8" s="18"/>
      <c r="H8" s="18"/>
      <c r="I8" s="18"/>
      <c r="J8" s="18"/>
      <c r="K8" s="18"/>
      <c r="L8" s="18"/>
      <c r="M8" s="18"/>
      <c r="N8" s="18"/>
    </row>
    <row r="10" spans="1:14" ht="15.75" thickBot="1" x14ac:dyDescent="0.3">
      <c r="A10" s="26"/>
      <c r="B10" s="101" t="s">
        <v>0</v>
      </c>
      <c r="C10" s="102"/>
      <c r="D10" s="101" t="s">
        <v>1</v>
      </c>
      <c r="E10" s="102"/>
      <c r="G10" s="37" t="s">
        <v>13</v>
      </c>
      <c r="H10" s="38"/>
      <c r="I10" s="38"/>
      <c r="J10" s="38"/>
      <c r="L10" s="37" t="s">
        <v>28</v>
      </c>
      <c r="M10" s="38"/>
    </row>
    <row r="11" spans="1:14" ht="15.75" thickBot="1" x14ac:dyDescent="0.3">
      <c r="A11" s="27" t="s">
        <v>2</v>
      </c>
      <c r="B11" s="27" t="s">
        <v>23</v>
      </c>
      <c r="C11" s="27" t="s">
        <v>24</v>
      </c>
      <c r="D11" s="27" t="s">
        <v>25</v>
      </c>
      <c r="E11" s="27" t="s">
        <v>26</v>
      </c>
      <c r="G11" s="39" t="s">
        <v>25</v>
      </c>
      <c r="H11" s="42"/>
      <c r="I11" s="39" t="s">
        <v>26</v>
      </c>
      <c r="J11" s="42"/>
      <c r="L11" s="39" t="s">
        <v>22</v>
      </c>
      <c r="M11" s="39" t="s">
        <v>21</v>
      </c>
    </row>
    <row r="12" spans="1:14" x14ac:dyDescent="0.25">
      <c r="A12" s="28">
        <v>1</v>
      </c>
      <c r="B12" s="29">
        <v>6.72</v>
      </c>
      <c r="C12" s="30">
        <v>18</v>
      </c>
      <c r="D12" s="29">
        <v>8.83</v>
      </c>
      <c r="E12" s="30">
        <v>5</v>
      </c>
      <c r="G12" s="95" t="s">
        <v>25</v>
      </c>
      <c r="H12" s="95"/>
      <c r="I12" s="95" t="s">
        <v>26</v>
      </c>
      <c r="J12" s="95"/>
      <c r="L12" s="3">
        <v>6.5</v>
      </c>
      <c r="M12" s="3">
        <v>7</v>
      </c>
    </row>
    <row r="13" spans="1:14" x14ac:dyDescent="0.25">
      <c r="A13" s="28">
        <v>2</v>
      </c>
      <c r="B13" s="29">
        <v>7.95</v>
      </c>
      <c r="C13" s="30">
        <v>11</v>
      </c>
      <c r="D13" s="29">
        <v>8.69</v>
      </c>
      <c r="E13" s="30">
        <v>6</v>
      </c>
      <c r="L13" s="3">
        <v>7.01</v>
      </c>
      <c r="M13" s="3">
        <v>7.5</v>
      </c>
    </row>
    <row r="14" spans="1:14" x14ac:dyDescent="0.25">
      <c r="A14" s="28">
        <v>3</v>
      </c>
      <c r="B14" s="29">
        <v>7.99</v>
      </c>
      <c r="C14" s="30">
        <v>10</v>
      </c>
      <c r="D14" s="29">
        <v>6.66</v>
      </c>
      <c r="E14" s="30">
        <v>37</v>
      </c>
      <c r="G14" t="s">
        <v>275</v>
      </c>
      <c r="H14">
        <v>7.9330000000000016</v>
      </c>
      <c r="I14" t="s">
        <v>275</v>
      </c>
      <c r="J14">
        <v>17.350000000000001</v>
      </c>
      <c r="L14" s="3">
        <v>7.51</v>
      </c>
      <c r="M14" s="3">
        <v>8</v>
      </c>
    </row>
    <row r="15" spans="1:14" x14ac:dyDescent="0.25">
      <c r="A15" s="28">
        <v>4</v>
      </c>
      <c r="B15" s="29">
        <v>5.31</v>
      </c>
      <c r="C15" s="30">
        <v>30</v>
      </c>
      <c r="D15" s="29">
        <v>8.24</v>
      </c>
      <c r="E15" s="30">
        <v>12</v>
      </c>
      <c r="G15" t="s">
        <v>276</v>
      </c>
      <c r="H15">
        <v>0.20268084841885714</v>
      </c>
      <c r="I15" t="s">
        <v>276</v>
      </c>
      <c r="J15">
        <v>2.4690452022039446</v>
      </c>
      <c r="L15" s="3">
        <v>8.01</v>
      </c>
      <c r="M15" s="3">
        <v>8.5</v>
      </c>
    </row>
    <row r="16" spans="1:14" x14ac:dyDescent="0.25">
      <c r="A16" s="28">
        <v>5</v>
      </c>
      <c r="B16" s="29">
        <v>6.69</v>
      </c>
      <c r="C16" s="30">
        <v>19</v>
      </c>
      <c r="D16" s="29">
        <v>9.32</v>
      </c>
      <c r="E16" s="30">
        <v>4</v>
      </c>
      <c r="G16" t="s">
        <v>277</v>
      </c>
      <c r="H16">
        <v>7.9350000000000005</v>
      </c>
      <c r="I16" t="s">
        <v>277</v>
      </c>
      <c r="J16">
        <v>14.5</v>
      </c>
      <c r="L16" s="3">
        <v>8.51</v>
      </c>
      <c r="M16" s="3">
        <v>9</v>
      </c>
    </row>
    <row r="17" spans="1:13" x14ac:dyDescent="0.25">
      <c r="A17" s="28">
        <v>6</v>
      </c>
      <c r="B17" s="29">
        <v>6.41</v>
      </c>
      <c r="C17" s="30">
        <v>25</v>
      </c>
      <c r="D17" s="29">
        <v>8.02</v>
      </c>
      <c r="E17" s="30">
        <v>9</v>
      </c>
      <c r="G17" t="s">
        <v>278</v>
      </c>
      <c r="H17" t="e">
        <v>#N/A</v>
      </c>
      <c r="I17" t="s">
        <v>278</v>
      </c>
      <c r="J17">
        <v>6</v>
      </c>
      <c r="L17" s="1"/>
      <c r="M17" s="1"/>
    </row>
    <row r="18" spans="1:13" ht="15.75" thickBot="1" x14ac:dyDescent="0.3">
      <c r="A18" s="28">
        <v>7</v>
      </c>
      <c r="B18" s="29">
        <v>7.12</v>
      </c>
      <c r="C18" s="30">
        <v>15</v>
      </c>
      <c r="D18" s="29">
        <v>6.97</v>
      </c>
      <c r="E18" s="30">
        <v>27</v>
      </c>
      <c r="G18" t="s">
        <v>279</v>
      </c>
      <c r="H18">
        <v>0.90641630960379072</v>
      </c>
      <c r="I18" t="s">
        <v>279</v>
      </c>
      <c r="J18">
        <v>11.041905823295467</v>
      </c>
      <c r="L18" s="37" t="s">
        <v>14</v>
      </c>
      <c r="M18" s="38"/>
    </row>
    <row r="19" spans="1:13" x14ac:dyDescent="0.25">
      <c r="A19" s="28">
        <v>8</v>
      </c>
      <c r="B19" s="29">
        <v>7.26</v>
      </c>
      <c r="C19" s="30">
        <v>14</v>
      </c>
      <c r="D19" s="29">
        <v>6.82</v>
      </c>
      <c r="E19" s="30">
        <v>31</v>
      </c>
      <c r="G19" t="s">
        <v>280</v>
      </c>
      <c r="H19">
        <v>0.82159052631575502</v>
      </c>
      <c r="I19" t="s">
        <v>280</v>
      </c>
      <c r="J19">
        <v>121.92368421052633</v>
      </c>
      <c r="L19" s="41" t="s">
        <v>288</v>
      </c>
      <c r="M19" s="41" t="s">
        <v>290</v>
      </c>
    </row>
    <row r="20" spans="1:13" x14ac:dyDescent="0.25">
      <c r="A20" s="28">
        <v>9</v>
      </c>
      <c r="B20" s="29">
        <v>6.59</v>
      </c>
      <c r="C20" s="30">
        <v>19</v>
      </c>
      <c r="D20" s="29">
        <v>6.69</v>
      </c>
      <c r="E20" s="30">
        <v>35</v>
      </c>
      <c r="G20" t="s">
        <v>281</v>
      </c>
      <c r="H20">
        <v>-1.0736290380604716</v>
      </c>
      <c r="I20" t="s">
        <v>281</v>
      </c>
      <c r="J20">
        <v>-1.1642900623642971</v>
      </c>
      <c r="L20" s="1">
        <v>7</v>
      </c>
      <c r="M20">
        <v>5</v>
      </c>
    </row>
    <row r="21" spans="1:13" x14ac:dyDescent="0.25">
      <c r="A21" s="28">
        <v>10</v>
      </c>
      <c r="B21" s="29">
        <v>5.16</v>
      </c>
      <c r="C21" s="30">
        <v>31</v>
      </c>
      <c r="D21" s="29">
        <v>7.82</v>
      </c>
      <c r="E21" s="30">
        <v>21</v>
      </c>
      <c r="G21" t="s">
        <v>282</v>
      </c>
      <c r="H21">
        <v>0.16295230727778481</v>
      </c>
      <c r="I21" t="s">
        <v>282</v>
      </c>
      <c r="J21">
        <v>0.50578413796394717</v>
      </c>
      <c r="L21" s="1">
        <v>7.5</v>
      </c>
      <c r="M21">
        <v>0</v>
      </c>
    </row>
    <row r="22" spans="1:13" x14ac:dyDescent="0.25">
      <c r="A22" s="28">
        <v>11</v>
      </c>
      <c r="B22" s="29">
        <v>6.01</v>
      </c>
      <c r="C22" s="30">
        <v>27</v>
      </c>
      <c r="D22" s="29">
        <v>6.94</v>
      </c>
      <c r="E22" s="30">
        <v>34</v>
      </c>
      <c r="G22" t="s">
        <v>283</v>
      </c>
      <c r="H22">
        <v>2.7799999999999994</v>
      </c>
      <c r="I22" t="s">
        <v>283</v>
      </c>
      <c r="J22">
        <v>33</v>
      </c>
      <c r="L22" s="1">
        <v>8</v>
      </c>
      <c r="M22">
        <v>1</v>
      </c>
    </row>
    <row r="23" spans="1:13" x14ac:dyDescent="0.25">
      <c r="A23" s="28">
        <v>12</v>
      </c>
      <c r="B23" s="29">
        <v>7.02</v>
      </c>
      <c r="C23" s="30">
        <v>17</v>
      </c>
      <c r="D23" s="29">
        <v>9.44</v>
      </c>
      <c r="E23" s="30">
        <v>7</v>
      </c>
      <c r="G23" t="s">
        <v>284</v>
      </c>
      <c r="H23">
        <v>6.66</v>
      </c>
      <c r="I23" t="s">
        <v>284</v>
      </c>
      <c r="J23">
        <v>4</v>
      </c>
      <c r="L23" s="1">
        <v>8.5</v>
      </c>
      <c r="M23">
        <v>0</v>
      </c>
    </row>
    <row r="24" spans="1:13" x14ac:dyDescent="0.25">
      <c r="A24" s="28">
        <v>13</v>
      </c>
      <c r="B24" s="29">
        <v>5.45</v>
      </c>
      <c r="C24" s="30">
        <v>28</v>
      </c>
      <c r="D24" s="29">
        <v>7.33</v>
      </c>
      <c r="E24" s="30">
        <v>26</v>
      </c>
      <c r="G24" t="s">
        <v>285</v>
      </c>
      <c r="H24">
        <v>9.44</v>
      </c>
      <c r="I24" t="s">
        <v>285</v>
      </c>
      <c r="J24">
        <v>37</v>
      </c>
      <c r="L24" s="1">
        <v>9</v>
      </c>
      <c r="M24">
        <v>1</v>
      </c>
    </row>
    <row r="25" spans="1:13" ht="15.75" thickBot="1" x14ac:dyDescent="0.3">
      <c r="A25" s="28">
        <v>14</v>
      </c>
      <c r="B25" s="29">
        <v>6.85</v>
      </c>
      <c r="C25" s="30">
        <v>17</v>
      </c>
      <c r="D25" s="29">
        <v>7.03</v>
      </c>
      <c r="E25" s="30">
        <v>22</v>
      </c>
      <c r="G25" t="s">
        <v>286</v>
      </c>
      <c r="H25">
        <v>158.66000000000003</v>
      </c>
      <c r="I25" t="s">
        <v>286</v>
      </c>
      <c r="J25">
        <v>347</v>
      </c>
      <c r="L25" s="40" t="s">
        <v>289</v>
      </c>
      <c r="M25" s="40">
        <v>13</v>
      </c>
    </row>
    <row r="26" spans="1:13" ht="15.75" thickBot="1" x14ac:dyDescent="0.3">
      <c r="A26" s="28">
        <v>15</v>
      </c>
      <c r="B26" s="29">
        <v>5.01</v>
      </c>
      <c r="C26" s="30">
        <v>33</v>
      </c>
      <c r="D26" s="29">
        <v>8.34</v>
      </c>
      <c r="E26" s="30">
        <v>10</v>
      </c>
      <c r="G26" s="40" t="s">
        <v>287</v>
      </c>
      <c r="H26" s="40">
        <v>20</v>
      </c>
      <c r="I26" s="40" t="s">
        <v>287</v>
      </c>
      <c r="J26" s="40">
        <v>20</v>
      </c>
    </row>
    <row r="27" spans="1:13" x14ac:dyDescent="0.25">
      <c r="A27" s="28">
        <v>16</v>
      </c>
      <c r="B27" s="29">
        <v>5.68</v>
      </c>
      <c r="C27" s="30">
        <v>28</v>
      </c>
      <c r="D27" s="29">
        <v>8.4499999999999993</v>
      </c>
      <c r="E27" s="30">
        <v>8</v>
      </c>
    </row>
    <row r="28" spans="1:13" x14ac:dyDescent="0.25">
      <c r="A28" s="28">
        <v>17</v>
      </c>
      <c r="B28" s="29">
        <v>5.05</v>
      </c>
      <c r="C28" s="30">
        <v>32</v>
      </c>
      <c r="D28" s="29">
        <v>8</v>
      </c>
      <c r="E28" s="30">
        <v>14</v>
      </c>
      <c r="G28" s="37"/>
      <c r="H28" s="38" t="s">
        <v>27</v>
      </c>
      <c r="I28" s="37"/>
      <c r="L28" s="37" t="s">
        <v>257</v>
      </c>
      <c r="M28" s="37"/>
    </row>
    <row r="29" spans="1:13" x14ac:dyDescent="0.25">
      <c r="A29" s="28">
        <v>18</v>
      </c>
      <c r="B29" s="29">
        <v>6.54</v>
      </c>
      <c r="C29" s="30">
        <v>23</v>
      </c>
      <c r="D29" s="29">
        <v>7.86</v>
      </c>
      <c r="E29" s="30">
        <v>18</v>
      </c>
      <c r="H29" s="5" t="s">
        <v>29</v>
      </c>
      <c r="I29" s="43">
        <f>_xlfn.PERCENTRANK.INC(B12:B31, H14)</f>
        <v>0.94499999999999995</v>
      </c>
    </row>
    <row r="30" spans="1:13" x14ac:dyDescent="0.25">
      <c r="A30" s="28">
        <v>19</v>
      </c>
      <c r="B30" s="29">
        <v>7.05</v>
      </c>
      <c r="C30" s="30">
        <v>15</v>
      </c>
      <c r="D30" s="29">
        <v>7.87</v>
      </c>
      <c r="E30" s="30">
        <v>15</v>
      </c>
      <c r="H30" s="5" t="s">
        <v>30</v>
      </c>
      <c r="I30" s="43">
        <f>1-_xlfn.PERCENTRANK.EXC(C12:C31, J14)</f>
        <v>0.60299999999999998</v>
      </c>
    </row>
    <row r="31" spans="1:13" x14ac:dyDescent="0.25">
      <c r="A31" s="28">
        <v>20</v>
      </c>
      <c r="B31" s="29">
        <v>7.5</v>
      </c>
      <c r="C31" s="30">
        <v>12</v>
      </c>
      <c r="D31" s="29">
        <v>9.34</v>
      </c>
      <c r="E31" s="30">
        <v>6</v>
      </c>
      <c r="H31" s="5"/>
    </row>
    <row r="32" spans="1:13" x14ac:dyDescent="0.25">
      <c r="H32" s="5"/>
      <c r="I32" s="5"/>
    </row>
    <row r="33" spans="1:14" x14ac:dyDescent="0.25">
      <c r="H33" s="5"/>
      <c r="I33" s="5"/>
    </row>
    <row r="38" spans="1:14" ht="18.75" x14ac:dyDescent="0.3">
      <c r="A38" s="21" t="s">
        <v>17</v>
      </c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</row>
    <row r="39" spans="1:14" x14ac:dyDescent="0.25">
      <c r="A39" s="17" t="s">
        <v>37</v>
      </c>
      <c r="B39" s="18"/>
      <c r="C39" s="18"/>
      <c r="D39" s="18"/>
      <c r="E39" s="19"/>
      <c r="F39" s="18"/>
      <c r="G39" s="18"/>
      <c r="H39" s="18"/>
      <c r="I39" s="18"/>
      <c r="J39" s="18"/>
      <c r="K39" s="18"/>
      <c r="L39" s="18"/>
      <c r="M39" s="18"/>
      <c r="N39" s="18"/>
    </row>
    <row r="41" spans="1:14" x14ac:dyDescent="0.25">
      <c r="A41" s="4" t="s">
        <v>12</v>
      </c>
    </row>
    <row r="42" spans="1:14" x14ac:dyDescent="0.25">
      <c r="A42" s="27" t="s">
        <v>2</v>
      </c>
      <c r="B42" s="27" t="s">
        <v>31</v>
      </c>
      <c r="C42" s="27" t="s">
        <v>24</v>
      </c>
      <c r="D42" s="31" t="s">
        <v>3</v>
      </c>
      <c r="E42" s="31" t="s">
        <v>4</v>
      </c>
      <c r="F42" s="31" t="s">
        <v>5</v>
      </c>
      <c r="G42" s="32" t="s">
        <v>6</v>
      </c>
      <c r="H42" s="32" t="s">
        <v>7</v>
      </c>
      <c r="I42" s="32" t="s">
        <v>8</v>
      </c>
      <c r="L42" s="37" t="s">
        <v>256</v>
      </c>
      <c r="M42" s="37"/>
    </row>
    <row r="43" spans="1:14" x14ac:dyDescent="0.25">
      <c r="A43" s="28">
        <v>1</v>
      </c>
      <c r="B43" s="24">
        <f>ABS(B12-D12)</f>
        <v>2.1100000000000003</v>
      </c>
      <c r="C43" s="30">
        <v>18</v>
      </c>
      <c r="D43" s="25">
        <f>TREND($C$43:$C$62, $B$43:$B$62, B43)</f>
        <v>23.296505675345443</v>
      </c>
      <c r="E43" s="25">
        <f>GROWTH($C$43:$C$62, $B$43:$B$62, B43)</f>
        <v>21.91332320639124</v>
      </c>
      <c r="F43" s="25">
        <f>2.3059*(B43^2)-2.8732*(B43)+17.231</f>
        <v>21.434645390000004</v>
      </c>
      <c r="G43" s="25">
        <f>ABS(C43-D43)</f>
        <v>5.2965056753454434</v>
      </c>
      <c r="H43" s="25">
        <f>ABS(C43-E43)</f>
        <v>3.9133232063912402</v>
      </c>
      <c r="I43" s="25">
        <f>ABS(C43-F43)</f>
        <v>3.4346453900000036</v>
      </c>
    </row>
    <row r="44" spans="1:14" x14ac:dyDescent="0.25">
      <c r="A44" s="28">
        <v>2</v>
      </c>
      <c r="B44" s="24">
        <f t="shared" ref="B44:B62" si="0">ABS(B13-D13)</f>
        <v>0.73999999999999932</v>
      </c>
      <c r="C44" s="30">
        <v>11</v>
      </c>
      <c r="D44" s="25">
        <f t="shared" ref="D44:D62" si="1">TREND($C$43:$C$62, $B$43:$B$62, B44)</f>
        <v>16.956080122976225</v>
      </c>
      <c r="E44" s="25">
        <f t="shared" ref="E44:E62" si="2">GROWTH($C$43:$C$62, $B$43:$B$62, B44)</f>
        <v>16.333044365515928</v>
      </c>
      <c r="F44" s="25">
        <f t="shared" ref="F44:F62" si="3">2.3059*(B44^2)-2.8732*(B44)+17.231</f>
        <v>16.367542840000002</v>
      </c>
      <c r="G44" s="25">
        <f t="shared" ref="G44:G62" si="4">ABS(C44-D44)</f>
        <v>5.9560801229762248</v>
      </c>
      <c r="H44" s="25">
        <f t="shared" ref="H44:H62" si="5">ABS(C44-E44)</f>
        <v>5.3330443655159279</v>
      </c>
      <c r="I44" s="25">
        <f t="shared" ref="I44:I62" si="6">ABS(C44-F44)</f>
        <v>5.3675428400000023</v>
      </c>
    </row>
    <row r="45" spans="1:14" x14ac:dyDescent="0.25">
      <c r="A45" s="28">
        <v>3</v>
      </c>
      <c r="B45" s="24">
        <f t="shared" si="0"/>
        <v>1.33</v>
      </c>
      <c r="C45" s="30">
        <v>10</v>
      </c>
      <c r="D45" s="25">
        <f t="shared" si="1"/>
        <v>19.686628353558589</v>
      </c>
      <c r="E45" s="25">
        <f t="shared" si="2"/>
        <v>18.536881245009951</v>
      </c>
      <c r="F45" s="25">
        <f t="shared" si="3"/>
        <v>17.488550510000003</v>
      </c>
      <c r="G45" s="25">
        <f t="shared" si="4"/>
        <v>9.6866283535585893</v>
      </c>
      <c r="H45" s="25">
        <f t="shared" si="5"/>
        <v>8.5368812450099512</v>
      </c>
      <c r="I45" s="25">
        <f t="shared" si="6"/>
        <v>7.4885505100000032</v>
      </c>
    </row>
    <row r="46" spans="1:14" x14ac:dyDescent="0.25">
      <c r="A46" s="28">
        <v>4</v>
      </c>
      <c r="B46" s="24">
        <f t="shared" si="0"/>
        <v>2.9300000000000006</v>
      </c>
      <c r="C46" s="30">
        <v>30</v>
      </c>
      <c r="D46" s="25">
        <f t="shared" si="1"/>
        <v>27.091504911070082</v>
      </c>
      <c r="E46" s="25">
        <f t="shared" si="2"/>
        <v>26.128024131077321</v>
      </c>
      <c r="F46" s="25">
        <f t="shared" si="3"/>
        <v>28.608444910000006</v>
      </c>
      <c r="G46" s="25">
        <f t="shared" si="4"/>
        <v>2.9084950889299179</v>
      </c>
      <c r="H46" s="25">
        <f t="shared" si="5"/>
        <v>3.8719758689226786</v>
      </c>
      <c r="I46" s="25">
        <f t="shared" si="6"/>
        <v>1.3915550899999936</v>
      </c>
    </row>
    <row r="47" spans="1:14" x14ac:dyDescent="0.25">
      <c r="A47" s="28">
        <v>5</v>
      </c>
      <c r="B47" s="24">
        <f t="shared" si="0"/>
        <v>2.63</v>
      </c>
      <c r="C47" s="30">
        <v>19</v>
      </c>
      <c r="D47" s="25">
        <f t="shared" si="1"/>
        <v>25.703090556536672</v>
      </c>
      <c r="E47" s="25">
        <f t="shared" si="2"/>
        <v>24.499428975401511</v>
      </c>
      <c r="F47" s="25">
        <f t="shared" si="3"/>
        <v>25.624163709999998</v>
      </c>
      <c r="G47" s="25">
        <f t="shared" si="4"/>
        <v>6.7030905565366723</v>
      </c>
      <c r="H47" s="25">
        <f t="shared" si="5"/>
        <v>5.4994289754015107</v>
      </c>
      <c r="I47" s="25">
        <f t="shared" si="6"/>
        <v>6.6241637099999977</v>
      </c>
    </row>
    <row r="48" spans="1:14" x14ac:dyDescent="0.25">
      <c r="A48" s="28">
        <v>6</v>
      </c>
      <c r="B48" s="24">
        <f t="shared" si="0"/>
        <v>1.6099999999999994</v>
      </c>
      <c r="C48" s="30">
        <v>25</v>
      </c>
      <c r="D48" s="25">
        <f t="shared" si="1"/>
        <v>20.982481751123096</v>
      </c>
      <c r="E48" s="25">
        <f t="shared" si="2"/>
        <v>19.684477900849028</v>
      </c>
      <c r="F48" s="25">
        <f t="shared" si="3"/>
        <v>18.582271389999999</v>
      </c>
      <c r="G48" s="25">
        <f t="shared" si="4"/>
        <v>4.0175182488769039</v>
      </c>
      <c r="H48" s="25">
        <f t="shared" si="5"/>
        <v>5.3155220991509715</v>
      </c>
      <c r="I48" s="25">
        <f t="shared" si="6"/>
        <v>6.4177286100000011</v>
      </c>
    </row>
    <row r="49" spans="1:9" x14ac:dyDescent="0.25">
      <c r="A49" s="28">
        <v>7</v>
      </c>
      <c r="B49" s="24">
        <f t="shared" si="0"/>
        <v>0.15000000000000036</v>
      </c>
      <c r="C49" s="30">
        <v>15</v>
      </c>
      <c r="D49" s="25">
        <f t="shared" si="1"/>
        <v>14.225531892393869</v>
      </c>
      <c r="E49" s="25">
        <f t="shared" si="2"/>
        <v>14.391220115181163</v>
      </c>
      <c r="F49" s="25">
        <f t="shared" si="3"/>
        <v>16.851902750000001</v>
      </c>
      <c r="G49" s="25">
        <f t="shared" si="4"/>
        <v>0.77446810760613083</v>
      </c>
      <c r="H49" s="25">
        <f t="shared" si="5"/>
        <v>0.60877988481883705</v>
      </c>
      <c r="I49" s="25">
        <f t="shared" si="6"/>
        <v>1.8519027500000007</v>
      </c>
    </row>
    <row r="50" spans="1:9" x14ac:dyDescent="0.25">
      <c r="A50" s="28">
        <v>8</v>
      </c>
      <c r="B50" s="24">
        <f t="shared" si="0"/>
        <v>0.4399999999999995</v>
      </c>
      <c r="C50" s="30">
        <v>14</v>
      </c>
      <c r="D50" s="25">
        <f t="shared" si="1"/>
        <v>15.567665768442822</v>
      </c>
      <c r="E50" s="25">
        <f t="shared" si="2"/>
        <v>15.3149835738666</v>
      </c>
      <c r="F50" s="25">
        <f t="shared" si="3"/>
        <v>16.413214240000002</v>
      </c>
      <c r="G50" s="25">
        <f t="shared" si="4"/>
        <v>1.5676657684428221</v>
      </c>
      <c r="H50" s="25">
        <f t="shared" si="5"/>
        <v>1.3149835738666003</v>
      </c>
      <c r="I50" s="25">
        <f t="shared" si="6"/>
        <v>2.4132142400000021</v>
      </c>
    </row>
    <row r="51" spans="1:9" x14ac:dyDescent="0.25">
      <c r="A51" s="28">
        <v>9</v>
      </c>
      <c r="B51" s="24">
        <f t="shared" si="0"/>
        <v>0.10000000000000053</v>
      </c>
      <c r="C51" s="30">
        <v>19</v>
      </c>
      <c r="D51" s="25">
        <f t="shared" si="1"/>
        <v>13.994129499971637</v>
      </c>
      <c r="E51" s="25">
        <f t="shared" si="2"/>
        <v>14.237678482789567</v>
      </c>
      <c r="F51" s="25">
        <f t="shared" si="3"/>
        <v>16.966739</v>
      </c>
      <c r="G51" s="25">
        <f t="shared" si="4"/>
        <v>5.0058705000283634</v>
      </c>
      <c r="H51" s="25">
        <f t="shared" si="5"/>
        <v>4.7623215172104327</v>
      </c>
      <c r="I51" s="25">
        <f t="shared" si="6"/>
        <v>2.0332609999999995</v>
      </c>
    </row>
    <row r="52" spans="1:9" x14ac:dyDescent="0.25">
      <c r="A52" s="28">
        <v>10</v>
      </c>
      <c r="B52" s="24">
        <f t="shared" si="0"/>
        <v>2.66</v>
      </c>
      <c r="C52" s="30">
        <v>31</v>
      </c>
      <c r="D52" s="25">
        <f t="shared" si="1"/>
        <v>25.841931991990016</v>
      </c>
      <c r="E52" s="25">
        <f t="shared" si="2"/>
        <v>24.657612469802313</v>
      </c>
      <c r="F52" s="25">
        <f t="shared" si="3"/>
        <v>25.903914040000004</v>
      </c>
      <c r="G52" s="25">
        <f t="shared" si="4"/>
        <v>5.1580680080099839</v>
      </c>
      <c r="H52" s="25">
        <f t="shared" si="5"/>
        <v>6.3423875301976871</v>
      </c>
      <c r="I52" s="25">
        <f t="shared" si="6"/>
        <v>5.0960859599999964</v>
      </c>
    </row>
    <row r="53" spans="1:9" x14ac:dyDescent="0.25">
      <c r="A53" s="28">
        <v>11</v>
      </c>
      <c r="B53" s="24">
        <f t="shared" si="0"/>
        <v>0.9300000000000006</v>
      </c>
      <c r="C53" s="30">
        <v>27</v>
      </c>
      <c r="D53" s="25">
        <f t="shared" si="1"/>
        <v>17.835409214180721</v>
      </c>
      <c r="E53" s="25">
        <f t="shared" si="2"/>
        <v>17.01254129807716</v>
      </c>
      <c r="F53" s="25">
        <f t="shared" si="3"/>
        <v>16.553296910000004</v>
      </c>
      <c r="G53" s="25">
        <f t="shared" si="4"/>
        <v>9.1645907858192786</v>
      </c>
      <c r="H53" s="25">
        <f t="shared" si="5"/>
        <v>9.98745870192284</v>
      </c>
      <c r="I53" s="25">
        <f t="shared" si="6"/>
        <v>10.446703089999996</v>
      </c>
    </row>
    <row r="54" spans="1:9" x14ac:dyDescent="0.25">
      <c r="A54" s="28">
        <v>12</v>
      </c>
      <c r="B54" s="24">
        <f t="shared" si="0"/>
        <v>2.42</v>
      </c>
      <c r="C54" s="30">
        <v>17</v>
      </c>
      <c r="D54" s="25">
        <f t="shared" si="1"/>
        <v>24.73120050836329</v>
      </c>
      <c r="E54" s="25">
        <f t="shared" si="2"/>
        <v>23.420196663961317</v>
      </c>
      <c r="F54" s="25">
        <f t="shared" si="3"/>
        <v>23.782128759999999</v>
      </c>
      <c r="G54" s="25">
        <f t="shared" si="4"/>
        <v>7.7312005083632904</v>
      </c>
      <c r="H54" s="25">
        <f t="shared" si="5"/>
        <v>6.4201966639613168</v>
      </c>
      <c r="I54" s="25">
        <f t="shared" si="6"/>
        <v>6.7821287599999991</v>
      </c>
    </row>
    <row r="55" spans="1:9" x14ac:dyDescent="0.25">
      <c r="A55" s="28">
        <v>13</v>
      </c>
      <c r="B55" s="24">
        <f t="shared" si="0"/>
        <v>1.88</v>
      </c>
      <c r="C55" s="30">
        <v>28</v>
      </c>
      <c r="D55" s="25">
        <f t="shared" si="1"/>
        <v>22.232054670203162</v>
      </c>
      <c r="E55" s="25">
        <f t="shared" si="2"/>
        <v>20.858325769817124</v>
      </c>
      <c r="F55" s="25">
        <f t="shared" si="3"/>
        <v>19.97935696</v>
      </c>
      <c r="G55" s="25">
        <f t="shared" si="4"/>
        <v>5.7679453297968379</v>
      </c>
      <c r="H55" s="25">
        <f t="shared" si="5"/>
        <v>7.1416742301828755</v>
      </c>
      <c r="I55" s="25">
        <f t="shared" si="6"/>
        <v>8.0206430399999995</v>
      </c>
    </row>
    <row r="56" spans="1:9" x14ac:dyDescent="0.25">
      <c r="A56" s="28">
        <v>14</v>
      </c>
      <c r="B56" s="24">
        <f t="shared" si="0"/>
        <v>0.1800000000000006</v>
      </c>
      <c r="C56" s="30">
        <v>17</v>
      </c>
      <c r="D56" s="25">
        <f t="shared" si="1"/>
        <v>14.364373327847211</v>
      </c>
      <c r="E56" s="25">
        <f t="shared" si="2"/>
        <v>14.484138749684691</v>
      </c>
      <c r="F56" s="25">
        <f t="shared" si="3"/>
        <v>16.788535160000002</v>
      </c>
      <c r="G56" s="25">
        <f t="shared" si="4"/>
        <v>2.6356266721527888</v>
      </c>
      <c r="H56" s="25">
        <f t="shared" si="5"/>
        <v>2.5158612503153091</v>
      </c>
      <c r="I56" s="25">
        <f t="shared" si="6"/>
        <v>0.21146483999999788</v>
      </c>
    </row>
    <row r="57" spans="1:9" x14ac:dyDescent="0.25">
      <c r="A57" s="28">
        <v>15</v>
      </c>
      <c r="B57" s="24">
        <f t="shared" si="0"/>
        <v>3.33</v>
      </c>
      <c r="C57" s="30">
        <v>33</v>
      </c>
      <c r="D57" s="25">
        <f t="shared" si="1"/>
        <v>28.94272405044795</v>
      </c>
      <c r="E57" s="25">
        <f t="shared" si="2"/>
        <v>28.4691200449445</v>
      </c>
      <c r="F57" s="25">
        <f t="shared" si="3"/>
        <v>33.233138510000003</v>
      </c>
      <c r="G57" s="25">
        <f t="shared" si="4"/>
        <v>4.0572759495520501</v>
      </c>
      <c r="H57" s="25">
        <f t="shared" si="5"/>
        <v>4.5308799550555001</v>
      </c>
      <c r="I57" s="25">
        <f t="shared" si="6"/>
        <v>0.23313851000000341</v>
      </c>
    </row>
    <row r="58" spans="1:9" x14ac:dyDescent="0.25">
      <c r="A58" s="28">
        <v>16</v>
      </c>
      <c r="B58" s="24">
        <f t="shared" si="0"/>
        <v>2.7699999999999996</v>
      </c>
      <c r="C58" s="30">
        <v>28</v>
      </c>
      <c r="D58" s="25">
        <f t="shared" si="1"/>
        <v>26.351017255318926</v>
      </c>
      <c r="E58" s="25">
        <f t="shared" si="2"/>
        <v>25.246406951725707</v>
      </c>
      <c r="F58" s="25">
        <f t="shared" si="3"/>
        <v>26.965176109999998</v>
      </c>
      <c r="G58" s="25">
        <f t="shared" si="4"/>
        <v>1.6489827446810743</v>
      </c>
      <c r="H58" s="25">
        <f t="shared" si="5"/>
        <v>2.7535930482742934</v>
      </c>
      <c r="I58" s="25">
        <f t="shared" si="6"/>
        <v>1.034823890000002</v>
      </c>
    </row>
    <row r="59" spans="1:9" x14ac:dyDescent="0.25">
      <c r="A59" s="28">
        <v>17</v>
      </c>
      <c r="B59" s="24">
        <f t="shared" si="0"/>
        <v>2.95</v>
      </c>
      <c r="C59" s="30">
        <v>32</v>
      </c>
      <c r="D59" s="25">
        <f t="shared" si="1"/>
        <v>27.184065868038971</v>
      </c>
      <c r="E59" s="25">
        <f t="shared" si="2"/>
        <v>26.240369261493779</v>
      </c>
      <c r="F59" s="25">
        <f t="shared" si="3"/>
        <v>28.822154749999999</v>
      </c>
      <c r="G59" s="25">
        <f t="shared" si="4"/>
        <v>4.8159341319610292</v>
      </c>
      <c r="H59" s="25">
        <f t="shared" si="5"/>
        <v>5.7596307385062211</v>
      </c>
      <c r="I59" s="25">
        <f t="shared" si="6"/>
        <v>3.1778452500000007</v>
      </c>
    </row>
    <row r="60" spans="1:9" x14ac:dyDescent="0.25">
      <c r="A60" s="28">
        <v>18</v>
      </c>
      <c r="B60" s="24">
        <f t="shared" si="0"/>
        <v>1.3200000000000003</v>
      </c>
      <c r="C60" s="30">
        <v>23</v>
      </c>
      <c r="D60" s="25">
        <f t="shared" si="1"/>
        <v>19.640347875074145</v>
      </c>
      <c r="E60" s="25">
        <f t="shared" si="2"/>
        <v>18.49715691546227</v>
      </c>
      <c r="F60" s="25">
        <f t="shared" si="3"/>
        <v>17.456176160000002</v>
      </c>
      <c r="G60" s="25">
        <f t="shared" si="4"/>
        <v>3.3596521249258551</v>
      </c>
      <c r="H60" s="25">
        <f t="shared" si="5"/>
        <v>4.5028430845377301</v>
      </c>
      <c r="I60" s="25">
        <f t="shared" si="6"/>
        <v>5.5438238399999982</v>
      </c>
    </row>
    <row r="61" spans="1:9" x14ac:dyDescent="0.25">
      <c r="A61" s="28">
        <v>19</v>
      </c>
      <c r="B61" s="24">
        <f t="shared" si="0"/>
        <v>0.82000000000000028</v>
      </c>
      <c r="C61" s="30">
        <v>15</v>
      </c>
      <c r="D61" s="25">
        <f t="shared" si="1"/>
        <v>17.326323950851805</v>
      </c>
      <c r="E61" s="25">
        <f t="shared" si="2"/>
        <v>16.615776306569444</v>
      </c>
      <c r="F61" s="25">
        <f t="shared" si="3"/>
        <v>16.425463160000003</v>
      </c>
      <c r="G61" s="25">
        <f t="shared" si="4"/>
        <v>2.3263239508518048</v>
      </c>
      <c r="H61" s="25">
        <f t="shared" si="5"/>
        <v>1.6157763065694439</v>
      </c>
      <c r="I61" s="25">
        <f t="shared" si="6"/>
        <v>1.4254631600000032</v>
      </c>
    </row>
    <row r="62" spans="1:9" x14ac:dyDescent="0.25">
      <c r="A62" s="28">
        <v>20</v>
      </c>
      <c r="B62" s="24">
        <f t="shared" si="0"/>
        <v>1.8399999999999999</v>
      </c>
      <c r="C62" s="30">
        <v>12</v>
      </c>
      <c r="D62" s="25">
        <f t="shared" si="1"/>
        <v>22.046932756265377</v>
      </c>
      <c r="E62" s="25">
        <f t="shared" si="2"/>
        <v>20.680103050962771</v>
      </c>
      <c r="F62" s="25">
        <f t="shared" si="3"/>
        <v>19.751167039999999</v>
      </c>
      <c r="G62" s="25">
        <f t="shared" si="4"/>
        <v>10.046932756265377</v>
      </c>
      <c r="H62" s="25">
        <f t="shared" si="5"/>
        <v>8.6801030509627708</v>
      </c>
      <c r="I62" s="25">
        <f t="shared" si="6"/>
        <v>7.7511670399999986</v>
      </c>
    </row>
    <row r="64" spans="1:9" x14ac:dyDescent="0.25">
      <c r="F64" s="32"/>
      <c r="G64" s="32" t="s">
        <v>19</v>
      </c>
      <c r="H64" s="32" t="s">
        <v>20</v>
      </c>
      <c r="I64" s="32" t="s">
        <v>18</v>
      </c>
    </row>
    <row r="65" spans="6:9" x14ac:dyDescent="0.25">
      <c r="F65" s="32" t="s">
        <v>9</v>
      </c>
      <c r="G65" s="25">
        <f>AVERAGE(G43:G62)</f>
        <v>4.9314427692340228</v>
      </c>
      <c r="H65" s="25">
        <f t="shared" ref="H65:I65" si="7">AVERAGE(H43:H62)</f>
        <v>4.9703332648387057</v>
      </c>
      <c r="I65" s="25">
        <f t="shared" si="7"/>
        <v>4.3372925760000012</v>
      </c>
    </row>
    <row r="66" spans="6:9" x14ac:dyDescent="0.25">
      <c r="F66" s="32" t="s">
        <v>10</v>
      </c>
      <c r="G66" s="33">
        <f>MIN(G65:I65)</f>
        <v>4.3372925760000012</v>
      </c>
      <c r="H66" s="33"/>
      <c r="I66" s="33"/>
    </row>
    <row r="67" spans="6:9" x14ac:dyDescent="0.25">
      <c r="F67" s="32" t="s">
        <v>11</v>
      </c>
      <c r="G67" s="34" t="str">
        <f ca="1">OFFSET(F64,0,MATCH(G66,G65:I65,0))</f>
        <v>Polynomial</v>
      </c>
      <c r="H67" s="35"/>
      <c r="I67" s="36"/>
    </row>
  </sheetData>
  <sortState xmlns:xlrd2="http://schemas.microsoft.com/office/spreadsheetml/2017/richdata2" ref="L20:L24">
    <sortCondition ref="L20"/>
  </sortState>
  <mergeCells count="2">
    <mergeCell ref="B10:C10"/>
    <mergeCell ref="D10:E10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Q231"/>
  <sheetViews>
    <sheetView zoomScale="110" zoomScaleNormal="110" workbookViewId="0">
      <selection activeCell="U44" sqref="U44"/>
    </sheetView>
  </sheetViews>
  <sheetFormatPr defaultColWidth="5.42578125" defaultRowHeight="15" x14ac:dyDescent="0.25"/>
  <cols>
    <col min="1" max="2" width="14" bestFit="1" customWidth="1"/>
    <col min="3" max="3" width="17.42578125" customWidth="1"/>
    <col min="4" max="7" width="10.42578125" customWidth="1"/>
    <col min="9" max="9" width="5.140625" customWidth="1"/>
    <col min="10" max="10" width="12.28515625" customWidth="1"/>
    <col min="11" max="15" width="10.85546875" customWidth="1"/>
    <col min="16" max="17" width="11.5703125" customWidth="1"/>
  </cols>
  <sheetData>
    <row r="1" spans="1:17" ht="18.75" x14ac:dyDescent="0.3">
      <c r="A1" s="6" t="s">
        <v>39</v>
      </c>
      <c r="B1" s="8"/>
      <c r="C1" s="8"/>
      <c r="D1" s="8"/>
      <c r="E1" s="8"/>
      <c r="F1" s="8"/>
      <c r="G1" s="9"/>
      <c r="H1" s="9"/>
      <c r="I1" s="9"/>
      <c r="J1" s="9"/>
      <c r="K1" s="9"/>
      <c r="L1" s="9"/>
      <c r="M1" s="9"/>
      <c r="N1" s="9"/>
      <c r="O1" s="9"/>
      <c r="P1" s="9"/>
      <c r="Q1" s="9"/>
    </row>
    <row r="2" spans="1:17" x14ac:dyDescent="0.25">
      <c r="A2" s="10" t="s">
        <v>69</v>
      </c>
      <c r="B2" s="11"/>
      <c r="C2" s="11"/>
      <c r="D2" s="11"/>
      <c r="E2" s="11"/>
      <c r="F2" s="11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</row>
    <row r="3" spans="1:17" x14ac:dyDescent="0.25">
      <c r="A3" s="10" t="s">
        <v>70</v>
      </c>
      <c r="B3" s="11"/>
      <c r="C3" s="11"/>
      <c r="D3" s="11"/>
      <c r="E3" s="11"/>
      <c r="F3" s="11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</row>
    <row r="4" spans="1:17" x14ac:dyDescent="0.25">
      <c r="A4" s="13" t="s">
        <v>15</v>
      </c>
      <c r="B4" s="14"/>
      <c r="C4" s="14"/>
      <c r="D4" s="14"/>
      <c r="E4" s="14"/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</row>
    <row r="5" spans="1:17" x14ac:dyDescent="0.25"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</row>
    <row r="6" spans="1:17" x14ac:dyDescent="0.25">
      <c r="A6" s="17" t="s">
        <v>71</v>
      </c>
      <c r="B6" s="18"/>
      <c r="C6" s="18"/>
      <c r="D6" s="18"/>
      <c r="E6" s="18"/>
      <c r="F6" s="18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</row>
    <row r="7" spans="1:17" x14ac:dyDescent="0.25">
      <c r="A7" s="17" t="s">
        <v>72</v>
      </c>
      <c r="B7" s="18"/>
      <c r="C7" s="18"/>
      <c r="D7" s="18"/>
      <c r="E7" s="18"/>
      <c r="F7" s="18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</row>
    <row r="9" spans="1:17" x14ac:dyDescent="0.25">
      <c r="A9" s="101" t="s">
        <v>57</v>
      </c>
      <c r="B9" s="102"/>
      <c r="H9" s="2"/>
      <c r="J9" s="52" t="s">
        <v>58</v>
      </c>
      <c r="K9" s="44"/>
      <c r="L9" s="44"/>
      <c r="M9" s="44"/>
      <c r="N9" s="44"/>
      <c r="O9" s="44"/>
      <c r="P9" s="44"/>
      <c r="Q9" s="44"/>
    </row>
    <row r="10" spans="1:17" x14ac:dyDescent="0.25">
      <c r="A10" s="28" t="s">
        <v>44</v>
      </c>
      <c r="B10" s="46">
        <v>10</v>
      </c>
      <c r="C10" s="47" t="s">
        <v>52</v>
      </c>
      <c r="D10" s="47"/>
      <c r="H10" s="2"/>
      <c r="J10" s="55" t="s">
        <v>51</v>
      </c>
      <c r="K10" s="56" t="s">
        <v>59</v>
      </c>
      <c r="L10" s="53"/>
      <c r="M10" s="53"/>
      <c r="N10" s="53"/>
      <c r="O10" s="53"/>
      <c r="P10" s="53"/>
      <c r="Q10" s="53"/>
    </row>
    <row r="11" spans="1:17" x14ac:dyDescent="0.25">
      <c r="A11" s="28" t="s">
        <v>45</v>
      </c>
      <c r="B11" s="51">
        <f>B10/6</f>
        <v>1.6666666666666667</v>
      </c>
      <c r="C11" s="47" t="s">
        <v>56</v>
      </c>
      <c r="D11" s="47"/>
      <c r="H11" s="2"/>
      <c r="J11" s="54">
        <f>TotalCost</f>
        <v>112.42</v>
      </c>
      <c r="K11" s="46">
        <v>10</v>
      </c>
      <c r="L11" s="46">
        <v>11</v>
      </c>
      <c r="M11" s="46">
        <v>12</v>
      </c>
      <c r="N11" s="46">
        <v>13</v>
      </c>
      <c r="O11" s="46">
        <v>14</v>
      </c>
      <c r="P11" s="46">
        <v>15</v>
      </c>
      <c r="Q11" s="46">
        <v>16</v>
      </c>
    </row>
    <row r="12" spans="1:17" x14ac:dyDescent="0.25">
      <c r="A12" s="28" t="s">
        <v>46</v>
      </c>
      <c r="B12" s="49">
        <v>0.3</v>
      </c>
      <c r="C12" s="47" t="s">
        <v>53</v>
      </c>
      <c r="D12" s="47"/>
      <c r="H12" s="2"/>
      <c r="J12" s="57">
        <v>0.3</v>
      </c>
      <c r="K12" s="29">
        <f t="dataTable" ref="K12:Q18" dt2D="1" dtr="1" r1="B10" r2="B12"/>
        <v>112.42</v>
      </c>
      <c r="L12" s="29">
        <v>123.66199999999999</v>
      </c>
      <c r="M12" s="29">
        <v>134.904</v>
      </c>
      <c r="N12" s="29">
        <v>146.14599999999999</v>
      </c>
      <c r="O12" s="29">
        <v>157.38799999999998</v>
      </c>
      <c r="P12" s="29">
        <v>168.63</v>
      </c>
      <c r="Q12" s="29">
        <v>179.87199999999999</v>
      </c>
    </row>
    <row r="13" spans="1:17" x14ac:dyDescent="0.25">
      <c r="A13" s="28" t="s">
        <v>47</v>
      </c>
      <c r="B13" s="49">
        <f>1-pFish</f>
        <v>0.7</v>
      </c>
      <c r="C13" s="47" t="s">
        <v>55</v>
      </c>
      <c r="D13" s="47"/>
      <c r="H13" s="2"/>
      <c r="J13" s="57">
        <v>0.4</v>
      </c>
      <c r="K13" s="29">
        <v>111.16</v>
      </c>
      <c r="L13" s="29">
        <v>122.276</v>
      </c>
      <c r="M13" s="29">
        <v>133.392</v>
      </c>
      <c r="N13" s="29">
        <v>144.50799999999998</v>
      </c>
      <c r="O13" s="29">
        <v>155.624</v>
      </c>
      <c r="P13" s="29">
        <v>166.74</v>
      </c>
      <c r="Q13" s="29">
        <v>177.85599999999999</v>
      </c>
    </row>
    <row r="14" spans="1:17" x14ac:dyDescent="0.25">
      <c r="A14" s="28" t="s">
        <v>48</v>
      </c>
      <c r="B14" s="29">
        <v>7.86</v>
      </c>
      <c r="C14" s="47" t="s">
        <v>41</v>
      </c>
      <c r="D14" s="47"/>
      <c r="H14" s="2"/>
      <c r="J14" s="57">
        <v>0.5</v>
      </c>
      <c r="K14" s="29">
        <v>109.9</v>
      </c>
      <c r="L14" s="29">
        <v>120.89</v>
      </c>
      <c r="M14" s="29">
        <v>131.88</v>
      </c>
      <c r="N14" s="29">
        <v>142.87</v>
      </c>
      <c r="O14" s="29">
        <v>153.86000000000001</v>
      </c>
      <c r="P14" s="29">
        <v>164.85</v>
      </c>
      <c r="Q14" s="29">
        <v>175.84</v>
      </c>
    </row>
    <row r="15" spans="1:17" x14ac:dyDescent="0.25">
      <c r="A15" s="28" t="s">
        <v>49</v>
      </c>
      <c r="B15" s="29">
        <v>9.1199999999999992</v>
      </c>
      <c r="C15" s="47" t="s">
        <v>42</v>
      </c>
      <c r="D15" s="47">
        <v>0</v>
      </c>
      <c r="H15" s="2"/>
      <c r="J15" s="57">
        <v>0.6</v>
      </c>
      <c r="K15" s="29">
        <v>108.64</v>
      </c>
      <c r="L15" s="29">
        <v>119.504</v>
      </c>
      <c r="M15" s="29">
        <v>130.36799999999999</v>
      </c>
      <c r="N15" s="29">
        <v>141.232</v>
      </c>
      <c r="O15" s="29">
        <v>152.096</v>
      </c>
      <c r="P15" s="29">
        <v>162.96</v>
      </c>
      <c r="Q15" s="29">
        <v>173.82400000000001</v>
      </c>
    </row>
    <row r="16" spans="1:17" x14ac:dyDescent="0.25">
      <c r="A16" s="28" t="s">
        <v>50</v>
      </c>
      <c r="B16" s="29">
        <v>15</v>
      </c>
      <c r="C16" s="47" t="s">
        <v>43</v>
      </c>
      <c r="D16" s="47">
        <v>0</v>
      </c>
      <c r="H16" s="2"/>
      <c r="J16" s="57">
        <v>0.7</v>
      </c>
      <c r="K16" s="29">
        <v>107.38</v>
      </c>
      <c r="L16" s="29">
        <v>118.11799999999999</v>
      </c>
      <c r="M16" s="29">
        <v>128.85599999999999</v>
      </c>
      <c r="N16" s="29">
        <v>139.59399999999999</v>
      </c>
      <c r="O16" s="29">
        <v>150.33199999999999</v>
      </c>
      <c r="P16" s="29">
        <v>161.07</v>
      </c>
      <c r="Q16" s="29">
        <v>171.80799999999999</v>
      </c>
    </row>
    <row r="17" spans="1:17" x14ac:dyDescent="0.25">
      <c r="A17" s="28" t="s">
        <v>51</v>
      </c>
      <c r="B17" s="48">
        <f>cFish*pFish*nGuests+cSteak*pSteak*nGuests+cTable*nTables</f>
        <v>112.42</v>
      </c>
      <c r="C17" s="47" t="s">
        <v>54</v>
      </c>
      <c r="D17" s="47">
        <v>0</v>
      </c>
      <c r="H17" s="2"/>
      <c r="J17" s="57">
        <v>0.8</v>
      </c>
      <c r="K17" s="29">
        <v>106.12</v>
      </c>
      <c r="L17" s="29">
        <v>116.732</v>
      </c>
      <c r="M17" s="29">
        <v>127.34399999999999</v>
      </c>
      <c r="N17" s="29">
        <v>137.95599999999999</v>
      </c>
      <c r="O17" s="29">
        <v>148.56799999999998</v>
      </c>
      <c r="P17" s="29">
        <v>159.18</v>
      </c>
      <c r="Q17" s="29">
        <v>169.792</v>
      </c>
    </row>
    <row r="18" spans="1:17" x14ac:dyDescent="0.25">
      <c r="A18" s="28" t="s">
        <v>40</v>
      </c>
      <c r="B18" s="48">
        <f>TotalCost*(1+0.2)/nGuests</f>
        <v>13.490399999999999</v>
      </c>
      <c r="C18" s="47" t="s">
        <v>64</v>
      </c>
      <c r="D18" s="47">
        <v>0</v>
      </c>
      <c r="H18" s="2"/>
      <c r="J18" s="57">
        <v>0.9</v>
      </c>
      <c r="K18" s="29">
        <v>104.86000000000001</v>
      </c>
      <c r="L18" s="29">
        <v>115.346</v>
      </c>
      <c r="M18" s="29">
        <v>125.83199999999999</v>
      </c>
      <c r="N18" s="29">
        <v>136.31799999999998</v>
      </c>
      <c r="O18" s="29">
        <v>146.80400000000003</v>
      </c>
      <c r="P18" s="29">
        <v>157.29000000000002</v>
      </c>
      <c r="Q18" s="29">
        <v>167.77600000000001</v>
      </c>
    </row>
    <row r="19" spans="1:17" x14ac:dyDescent="0.25">
      <c r="H19" s="2"/>
    </row>
    <row r="20" spans="1:17" x14ac:dyDescent="0.25">
      <c r="A20" s="17" t="s">
        <v>73</v>
      </c>
      <c r="B20" s="18"/>
      <c r="C20" s="18"/>
      <c r="D20" s="18"/>
      <c r="E20" s="18"/>
      <c r="F20" s="18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</row>
    <row r="21" spans="1:17" x14ac:dyDescent="0.25">
      <c r="A21" s="20" t="s">
        <v>74</v>
      </c>
      <c r="B21" s="18"/>
      <c r="C21" s="18"/>
      <c r="D21" s="18"/>
      <c r="E21" s="18"/>
      <c r="F21" s="18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</row>
    <row r="22" spans="1:17" x14ac:dyDescent="0.25">
      <c r="A22" s="20" t="s">
        <v>75</v>
      </c>
      <c r="B22" s="18"/>
      <c r="C22" s="18"/>
      <c r="D22" s="18"/>
      <c r="E22" s="18"/>
      <c r="F22" s="18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</row>
    <row r="23" spans="1:17" x14ac:dyDescent="0.25">
      <c r="A23" s="20" t="s">
        <v>76</v>
      </c>
      <c r="B23" s="18"/>
      <c r="C23" s="18"/>
      <c r="D23" s="18"/>
      <c r="E23" s="18"/>
      <c r="F23" s="18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</row>
    <row r="24" spans="1:17" x14ac:dyDescent="0.25">
      <c r="A24" s="20" t="s">
        <v>77</v>
      </c>
      <c r="B24" s="18"/>
      <c r="C24" s="18"/>
      <c r="D24" s="18"/>
      <c r="E24" s="18"/>
      <c r="F24" s="18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</row>
    <row r="25" spans="1:17" x14ac:dyDescent="0.25">
      <c r="A25" s="20" t="s">
        <v>78</v>
      </c>
      <c r="B25" s="18"/>
      <c r="C25" s="18"/>
      <c r="D25" s="18"/>
      <c r="E25" s="18"/>
      <c r="F25" s="18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</row>
    <row r="26" spans="1:17" x14ac:dyDescent="0.25">
      <c r="A26" s="20" t="s">
        <v>79</v>
      </c>
      <c r="B26" s="18"/>
      <c r="C26" s="18"/>
      <c r="D26" s="18"/>
      <c r="E26" s="18"/>
      <c r="F26" s="18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</row>
    <row r="27" spans="1:17" x14ac:dyDescent="0.25">
      <c r="A27" s="20" t="s">
        <v>80</v>
      </c>
      <c r="B27" s="18"/>
      <c r="C27" s="18"/>
      <c r="D27" s="18"/>
      <c r="E27" s="18"/>
      <c r="F27" s="18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</row>
    <row r="28" spans="1:17" x14ac:dyDescent="0.25">
      <c r="A28" s="20" t="s">
        <v>81</v>
      </c>
      <c r="B28" s="18"/>
      <c r="C28" s="18"/>
      <c r="D28" s="18"/>
      <c r="E28" s="18"/>
      <c r="F28" s="18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</row>
    <row r="29" spans="1:17" x14ac:dyDescent="0.25">
      <c r="H29" s="2"/>
    </row>
    <row r="30" spans="1:17" ht="18.75" x14ac:dyDescent="0.3">
      <c r="A30" s="103" t="s">
        <v>63</v>
      </c>
      <c r="B30" s="104"/>
      <c r="C30" s="104"/>
      <c r="D30" s="104"/>
      <c r="E30" s="104"/>
      <c r="F30" s="104"/>
      <c r="G30" s="104"/>
      <c r="H30" s="2"/>
      <c r="J30" s="53" t="s">
        <v>67</v>
      </c>
      <c r="K30" s="27" t="s">
        <v>65</v>
      </c>
      <c r="L30" s="27" t="s">
        <v>66</v>
      </c>
    </row>
    <row r="31" spans="1:17" x14ac:dyDescent="0.25">
      <c r="A31" s="27" t="s">
        <v>60</v>
      </c>
      <c r="B31" s="27" t="s">
        <v>44</v>
      </c>
      <c r="C31" s="27" t="s">
        <v>45</v>
      </c>
      <c r="D31" s="27" t="s">
        <v>46</v>
      </c>
      <c r="E31" s="27" t="s">
        <v>47</v>
      </c>
      <c r="F31" s="27" t="s">
        <v>61</v>
      </c>
      <c r="G31" s="27" t="s">
        <v>40</v>
      </c>
      <c r="I31" s="2"/>
      <c r="J31" s="53" t="s">
        <v>40</v>
      </c>
      <c r="K31" s="48">
        <v>12.882395015788681</v>
      </c>
      <c r="L31" s="48">
        <v>12.882395015788681</v>
      </c>
    </row>
    <row r="32" spans="1:17" x14ac:dyDescent="0.25">
      <c r="A32" s="58">
        <v>1</v>
      </c>
      <c r="B32" s="46">
        <v>119</v>
      </c>
      <c r="C32" s="46">
        <v>20</v>
      </c>
      <c r="D32" s="49">
        <v>0.71879303455352783</v>
      </c>
      <c r="E32" s="49">
        <v>0.28120696544647217</v>
      </c>
      <c r="F32" s="48">
        <v>1277.5041723990441</v>
      </c>
      <c r="G32" s="48">
        <v>12.882395015788681</v>
      </c>
      <c r="I32" s="2"/>
      <c r="J32" s="53" t="s">
        <v>51</v>
      </c>
      <c r="K32" s="48">
        <v>1419.9512</v>
      </c>
      <c r="L32" s="48">
        <v>1419.9512</v>
      </c>
    </row>
    <row r="33" spans="1:12" x14ac:dyDescent="0.25">
      <c r="A33" s="58">
        <v>2</v>
      </c>
      <c r="B33" s="46">
        <v>125</v>
      </c>
      <c r="C33" s="46">
        <v>21</v>
      </c>
      <c r="D33" s="49">
        <v>0.22253203392028809</v>
      </c>
      <c r="E33" s="49">
        <v>0.77746796607971191</v>
      </c>
      <c r="F33" s="48">
        <v>1419.9512046575546</v>
      </c>
      <c r="G33" s="48">
        <v>13.631531564712525</v>
      </c>
      <c r="I33" s="2"/>
      <c r="J33" s="53" t="s">
        <v>44</v>
      </c>
      <c r="K33" s="46">
        <v>125</v>
      </c>
      <c r="L33" s="46">
        <v>125</v>
      </c>
    </row>
    <row r="34" spans="1:12" x14ac:dyDescent="0.25">
      <c r="A34" s="58">
        <v>3</v>
      </c>
      <c r="B34" s="46">
        <v>93</v>
      </c>
      <c r="C34" s="46">
        <v>16</v>
      </c>
      <c r="D34" s="49">
        <v>0.55330216884613037</v>
      </c>
      <c r="E34" s="49">
        <v>0.44669783115386963</v>
      </c>
      <c r="F34" s="48">
        <v>1023.3240518546104</v>
      </c>
      <c r="G34" s="48">
        <v>13.204181314253036</v>
      </c>
      <c r="I34" s="2"/>
    </row>
    <row r="35" spans="1:12" x14ac:dyDescent="0.25">
      <c r="A35" s="58">
        <v>4</v>
      </c>
      <c r="B35" s="46">
        <v>93</v>
      </c>
      <c r="C35" s="46">
        <v>16</v>
      </c>
      <c r="D35" s="49">
        <v>0.20430564880371094</v>
      </c>
      <c r="E35" s="49">
        <v>0.79569435119628906</v>
      </c>
      <c r="F35" s="48">
        <v>1064.2194640731811</v>
      </c>
      <c r="G35" s="48">
        <v>13.731864052557174</v>
      </c>
      <c r="I35" s="2"/>
    </row>
    <row r="36" spans="1:12" ht="15.75" thickBot="1" x14ac:dyDescent="0.3">
      <c r="A36" s="58">
        <v>5</v>
      </c>
      <c r="B36" s="46">
        <v>104</v>
      </c>
      <c r="C36" s="46">
        <v>17</v>
      </c>
      <c r="D36" s="49">
        <v>0.62998735904693604</v>
      </c>
      <c r="E36" s="49">
        <v>0.37001264095306396</v>
      </c>
      <c r="F36" s="48">
        <v>1120.9264564704895</v>
      </c>
      <c r="G36" s="48">
        <v>12.933766805428725</v>
      </c>
      <c r="I36" s="2"/>
      <c r="J36" s="105" t="s">
        <v>62</v>
      </c>
      <c r="K36" s="106"/>
      <c r="L36" s="106"/>
    </row>
    <row r="37" spans="1:12" x14ac:dyDescent="0.25">
      <c r="A37" s="58">
        <v>6</v>
      </c>
      <c r="B37" s="46">
        <v>78</v>
      </c>
      <c r="C37" s="46">
        <v>13</v>
      </c>
      <c r="D37" s="49">
        <v>6.0976266860961914E-2</v>
      </c>
      <c r="E37" s="49">
        <v>0.93902373313903809</v>
      </c>
      <c r="F37" s="48">
        <v>900.36725249290464</v>
      </c>
      <c r="G37" s="48">
        <v>13.851803884506225</v>
      </c>
      <c r="I37" s="2"/>
      <c r="J37" s="4" t="s">
        <v>68</v>
      </c>
      <c r="K37" s="41" t="s">
        <v>68</v>
      </c>
      <c r="L37" s="41" t="s">
        <v>290</v>
      </c>
    </row>
    <row r="38" spans="1:12" x14ac:dyDescent="0.25">
      <c r="A38" s="58">
        <v>7</v>
      </c>
      <c r="B38" s="46">
        <v>107</v>
      </c>
      <c r="C38" s="46">
        <v>18</v>
      </c>
      <c r="D38" s="49">
        <v>0.83855807781219482</v>
      </c>
      <c r="E38" s="49">
        <v>0.16144192218780518</v>
      </c>
      <c r="F38" s="48">
        <v>1132.7855999493599</v>
      </c>
      <c r="G38" s="48">
        <v>12.704137569525532</v>
      </c>
      <c r="H38" s="3"/>
      <c r="I38" s="2"/>
      <c r="J38" s="3">
        <v>12</v>
      </c>
      <c r="K38">
        <v>12</v>
      </c>
      <c r="L38">
        <v>0</v>
      </c>
    </row>
    <row r="39" spans="1:12" x14ac:dyDescent="0.25">
      <c r="A39" s="58">
        <v>8</v>
      </c>
      <c r="B39" s="46">
        <v>107</v>
      </c>
      <c r="C39" s="46">
        <v>18</v>
      </c>
      <c r="D39" s="49">
        <v>0.42492914199829102</v>
      </c>
      <c r="E39" s="49">
        <v>0.57507085800170898</v>
      </c>
      <c r="F39" s="48">
        <v>1188.5510530757904</v>
      </c>
      <c r="G39" s="48">
        <v>13.329544520476153</v>
      </c>
      <c r="J39" s="3">
        <v>12.25</v>
      </c>
      <c r="K39">
        <v>12.25</v>
      </c>
      <c r="L39">
        <v>0</v>
      </c>
    </row>
    <row r="40" spans="1:12" x14ac:dyDescent="0.25">
      <c r="A40" s="58">
        <v>9</v>
      </c>
      <c r="B40" s="46">
        <v>82</v>
      </c>
      <c r="C40" s="46">
        <v>14</v>
      </c>
      <c r="D40" s="49">
        <v>0.49548161029815674</v>
      </c>
      <c r="E40" s="49">
        <v>0.50451838970184326</v>
      </c>
      <c r="F40" s="48">
        <v>906.6468400239944</v>
      </c>
      <c r="G40" s="48">
        <v>13.268002536936503</v>
      </c>
      <c r="J40" s="3">
        <v>12.5</v>
      </c>
      <c r="K40">
        <v>12.5</v>
      </c>
      <c r="L40">
        <v>3</v>
      </c>
    </row>
    <row r="41" spans="1:12" x14ac:dyDescent="0.25">
      <c r="A41" s="58">
        <v>10</v>
      </c>
      <c r="B41" s="46">
        <v>139</v>
      </c>
      <c r="C41" s="46">
        <v>23</v>
      </c>
      <c r="D41" s="49">
        <v>0.76936984062194824</v>
      </c>
      <c r="E41" s="49">
        <v>0.23063015937805176</v>
      </c>
      <c r="F41" s="48">
        <v>1477.9325661134719</v>
      </c>
      <c r="G41" s="48">
        <v>12.759130067166664</v>
      </c>
      <c r="J41" s="3">
        <v>12.75</v>
      </c>
      <c r="K41">
        <v>12.75</v>
      </c>
      <c r="L41">
        <v>13</v>
      </c>
    </row>
    <row r="42" spans="1:12" x14ac:dyDescent="0.25">
      <c r="A42" s="58">
        <v>11</v>
      </c>
      <c r="B42" s="46">
        <v>94</v>
      </c>
      <c r="C42" s="46">
        <v>16</v>
      </c>
      <c r="D42" s="49">
        <v>0.48460805416107178</v>
      </c>
      <c r="E42" s="49">
        <v>0.51539194583892822</v>
      </c>
      <c r="F42" s="48">
        <v>1039.8830220651625</v>
      </c>
      <c r="G42" s="48">
        <v>13.2751024093425</v>
      </c>
      <c r="J42" s="3">
        <v>13</v>
      </c>
      <c r="K42">
        <v>13</v>
      </c>
      <c r="L42">
        <v>18</v>
      </c>
    </row>
    <row r="43" spans="1:12" x14ac:dyDescent="0.25">
      <c r="A43" s="58">
        <v>12</v>
      </c>
      <c r="B43" s="46">
        <v>102</v>
      </c>
      <c r="C43" s="46">
        <v>17</v>
      </c>
      <c r="D43" s="49">
        <v>0.67394924163818359</v>
      </c>
      <c r="E43" s="49">
        <v>0.32605075836181641</v>
      </c>
      <c r="F43" s="48">
        <v>1098.6240434646606</v>
      </c>
      <c r="G43" s="48">
        <v>12.924988746643066</v>
      </c>
      <c r="J43" s="3">
        <v>13.25</v>
      </c>
      <c r="K43">
        <v>13.25</v>
      </c>
      <c r="L43">
        <v>15</v>
      </c>
    </row>
    <row r="44" spans="1:12" x14ac:dyDescent="0.25">
      <c r="A44" s="58">
        <v>13</v>
      </c>
      <c r="B44" s="46">
        <v>65</v>
      </c>
      <c r="C44" s="46">
        <v>11</v>
      </c>
      <c r="D44" s="49">
        <v>0.64779531955718994</v>
      </c>
      <c r="E44" s="49">
        <v>0.35220468044281006</v>
      </c>
      <c r="F44" s="48">
        <v>704.74556332826614</v>
      </c>
      <c r="G44" s="48">
        <v>13.010687322983374</v>
      </c>
      <c r="J44" s="3">
        <v>13.5</v>
      </c>
      <c r="K44">
        <v>13.5</v>
      </c>
      <c r="L44">
        <v>22</v>
      </c>
    </row>
    <row r="45" spans="1:12" x14ac:dyDescent="0.25">
      <c r="A45" s="58">
        <v>14</v>
      </c>
      <c r="B45" s="46">
        <v>126</v>
      </c>
      <c r="C45" s="46">
        <v>21</v>
      </c>
      <c r="D45" s="49">
        <v>0.34038853645324707</v>
      </c>
      <c r="E45" s="49">
        <v>0.65961146354675293</v>
      </c>
      <c r="F45" s="48">
        <v>1410.0799159526825</v>
      </c>
      <c r="G45" s="48">
        <v>13.42933253288269</v>
      </c>
      <c r="J45" s="3">
        <v>13.75</v>
      </c>
      <c r="K45">
        <v>13.75</v>
      </c>
      <c r="L45">
        <v>16</v>
      </c>
    </row>
    <row r="46" spans="1:12" x14ac:dyDescent="0.25">
      <c r="A46" s="58">
        <v>15</v>
      </c>
      <c r="B46" s="46">
        <v>76</v>
      </c>
      <c r="C46" s="46">
        <v>13</v>
      </c>
      <c r="D46" s="49">
        <v>0.42553412914276123</v>
      </c>
      <c r="E46" s="49">
        <v>0.57446587085723877</v>
      </c>
      <c r="F46" s="48">
        <v>847.37085179328915</v>
      </c>
      <c r="G46" s="48">
        <v>13.379539765157197</v>
      </c>
      <c r="J46" s="3">
        <v>14</v>
      </c>
      <c r="K46">
        <v>14</v>
      </c>
      <c r="L46">
        <v>12</v>
      </c>
    </row>
    <row r="47" spans="1:12" x14ac:dyDescent="0.25">
      <c r="A47" s="58">
        <v>16</v>
      </c>
      <c r="B47" s="46">
        <v>115</v>
      </c>
      <c r="C47" s="46">
        <v>19</v>
      </c>
      <c r="D47" s="49">
        <v>0.35810422897338867</v>
      </c>
      <c r="E47" s="49">
        <v>0.64189577102661133</v>
      </c>
      <c r="F47" s="48">
        <v>1281.910697221756</v>
      </c>
      <c r="G47" s="48">
        <v>13.376459449270497</v>
      </c>
      <c r="J47" s="3">
        <v>14.25</v>
      </c>
      <c r="K47">
        <v>14.25</v>
      </c>
      <c r="L47">
        <v>1</v>
      </c>
    </row>
    <row r="48" spans="1:12" x14ac:dyDescent="0.25">
      <c r="A48" s="58">
        <v>17</v>
      </c>
      <c r="B48" s="46">
        <v>96</v>
      </c>
      <c r="C48" s="46">
        <v>16</v>
      </c>
      <c r="D48" s="49">
        <v>0.74757301807403564</v>
      </c>
      <c r="E48" s="49">
        <v>0.25242698192596436</v>
      </c>
      <c r="F48" s="48">
        <v>1025.0935677337648</v>
      </c>
      <c r="G48" s="48">
        <v>12.813669596672058</v>
      </c>
      <c r="J48" s="3">
        <v>14.5</v>
      </c>
      <c r="K48">
        <v>14.5</v>
      </c>
      <c r="L48">
        <v>0</v>
      </c>
    </row>
    <row r="49" spans="1:12" ht="15.75" thickBot="1" x14ac:dyDescent="0.3">
      <c r="A49" s="58">
        <v>18</v>
      </c>
      <c r="B49" s="46">
        <v>97</v>
      </c>
      <c r="C49" s="46">
        <v>16</v>
      </c>
      <c r="D49" s="49">
        <v>0.7198331356048584</v>
      </c>
      <c r="E49" s="49">
        <v>0.2801668643951416</v>
      </c>
      <c r="F49" s="48">
        <v>1036.6619941663741</v>
      </c>
      <c r="G49" s="48">
        <v>12.824684463913906</v>
      </c>
      <c r="K49" s="40" t="s">
        <v>289</v>
      </c>
      <c r="L49" s="40">
        <v>0</v>
      </c>
    </row>
    <row r="50" spans="1:12" x14ac:dyDescent="0.25">
      <c r="A50" s="58">
        <v>19</v>
      </c>
      <c r="B50" s="46">
        <v>100</v>
      </c>
      <c r="C50" s="46">
        <v>17</v>
      </c>
      <c r="D50" s="49">
        <v>0.17354333400726318</v>
      </c>
      <c r="E50" s="49">
        <v>0.82645666599273682</v>
      </c>
      <c r="F50" s="48">
        <v>1145.1335399150848</v>
      </c>
      <c r="G50" s="48">
        <v>13.741602478981017</v>
      </c>
    </row>
    <row r="51" spans="1:12" x14ac:dyDescent="0.25">
      <c r="A51" s="58">
        <v>20</v>
      </c>
      <c r="B51" s="46">
        <v>88</v>
      </c>
      <c r="C51" s="46">
        <v>15</v>
      </c>
      <c r="D51" s="49">
        <v>8.725738525390625E-2</v>
      </c>
      <c r="E51" s="49">
        <v>0.91274261474609375</v>
      </c>
      <c r="F51" s="48">
        <v>1017.8849011230468</v>
      </c>
      <c r="G51" s="48">
        <v>13.88024865167791</v>
      </c>
      <c r="J51" s="96"/>
      <c r="K51" s="97"/>
      <c r="L51" s="1"/>
    </row>
    <row r="52" spans="1:12" x14ac:dyDescent="0.25">
      <c r="A52" s="58">
        <v>21</v>
      </c>
      <c r="B52" s="46">
        <v>141</v>
      </c>
      <c r="C52" s="46">
        <v>24</v>
      </c>
      <c r="D52" s="49">
        <v>0.28358423709869385</v>
      </c>
      <c r="E52" s="49">
        <v>0.71641576290130615</v>
      </c>
      <c r="F52" s="48">
        <v>1595.5384244370459</v>
      </c>
      <c r="G52" s="48">
        <v>13.579050420740815</v>
      </c>
      <c r="J52" s="96"/>
    </row>
    <row r="53" spans="1:12" x14ac:dyDescent="0.25">
      <c r="A53" s="58">
        <v>22</v>
      </c>
      <c r="B53" s="46">
        <v>106</v>
      </c>
      <c r="C53" s="46">
        <v>18</v>
      </c>
      <c r="D53" s="49">
        <v>0.30662941932678223</v>
      </c>
      <c r="E53" s="49">
        <v>0.69337058067321777</v>
      </c>
      <c r="F53" s="48">
        <v>1195.7665747547148</v>
      </c>
      <c r="G53" s="48">
        <v>13.53698009156281</v>
      </c>
    </row>
    <row r="54" spans="1:12" x14ac:dyDescent="0.25">
      <c r="A54" s="58">
        <v>23</v>
      </c>
      <c r="B54" s="46">
        <v>121</v>
      </c>
      <c r="C54" s="46">
        <v>20</v>
      </c>
      <c r="D54" s="49">
        <v>0.31896770000457764</v>
      </c>
      <c r="E54" s="49">
        <v>0.68103229999542236</v>
      </c>
      <c r="F54" s="48">
        <v>1354.890184457302</v>
      </c>
      <c r="G54" s="48">
        <v>13.436927449163324</v>
      </c>
    </row>
    <row r="55" spans="1:12" x14ac:dyDescent="0.25">
      <c r="A55" s="58">
        <v>24</v>
      </c>
      <c r="B55" s="46">
        <v>117</v>
      </c>
      <c r="C55" s="46">
        <v>20</v>
      </c>
      <c r="D55" s="49">
        <v>0.17439699172973633</v>
      </c>
      <c r="E55" s="49">
        <v>0.82560300827026367</v>
      </c>
      <c r="F55" s="48">
        <v>1341.3303954792023</v>
      </c>
      <c r="G55" s="48">
        <v>13.757234825427716</v>
      </c>
    </row>
    <row r="56" spans="1:12" x14ac:dyDescent="0.25">
      <c r="A56" s="58">
        <v>25</v>
      </c>
      <c r="B56" s="46">
        <v>90</v>
      </c>
      <c r="C56" s="46">
        <v>15</v>
      </c>
      <c r="D56" s="49">
        <v>7.2723507881164551E-2</v>
      </c>
      <c r="E56" s="49">
        <v>0.92727649211883545</v>
      </c>
      <c r="F56" s="48">
        <v>1037.5531542062758</v>
      </c>
      <c r="G56" s="48">
        <v>13.834042056083677</v>
      </c>
    </row>
    <row r="57" spans="1:12" x14ac:dyDescent="0.25">
      <c r="A57" s="58">
        <v>26</v>
      </c>
      <c r="B57" s="46">
        <v>100</v>
      </c>
      <c r="C57" s="46">
        <v>17</v>
      </c>
      <c r="D57" s="49">
        <v>0.45282816886901855</v>
      </c>
      <c r="E57" s="49">
        <v>0.54717183113098145</v>
      </c>
      <c r="F57" s="48">
        <v>1109.9436507225037</v>
      </c>
      <c r="G57" s="48">
        <v>13.319323808670044</v>
      </c>
    </row>
    <row r="58" spans="1:12" x14ac:dyDescent="0.25">
      <c r="A58" s="58">
        <v>27</v>
      </c>
      <c r="B58" s="46">
        <v>105</v>
      </c>
      <c r="C58" s="46">
        <v>18</v>
      </c>
      <c r="D58" s="49">
        <v>3.026425838470459E-2</v>
      </c>
      <c r="E58" s="49">
        <v>0.96973574161529541</v>
      </c>
      <c r="F58" s="48">
        <v>1223.5960386157035</v>
      </c>
      <c r="G58" s="48">
        <v>13.983954727036611</v>
      </c>
    </row>
    <row r="59" spans="1:12" x14ac:dyDescent="0.25">
      <c r="A59" s="58">
        <v>28</v>
      </c>
      <c r="B59" s="46">
        <v>91</v>
      </c>
      <c r="C59" s="46">
        <v>15</v>
      </c>
      <c r="D59" s="49">
        <v>0.13563632965087891</v>
      </c>
      <c r="E59" s="49">
        <v>0.86436367034912109</v>
      </c>
      <c r="F59" s="48">
        <v>1039.3679384422301</v>
      </c>
      <c r="G59" s="48">
        <v>13.705950836600834</v>
      </c>
    </row>
    <row r="60" spans="1:12" x14ac:dyDescent="0.25">
      <c r="A60" s="58">
        <v>29</v>
      </c>
      <c r="B60" s="46">
        <v>91</v>
      </c>
      <c r="C60" s="46">
        <v>15</v>
      </c>
      <c r="D60" s="49">
        <v>0.76001036167144775</v>
      </c>
      <c r="E60" s="49">
        <v>0.23998963832855225</v>
      </c>
      <c r="F60" s="48">
        <v>967.77721193075183</v>
      </c>
      <c r="G60" s="48">
        <v>12.761897300185737</v>
      </c>
    </row>
    <row r="61" spans="1:12" x14ac:dyDescent="0.25">
      <c r="A61" s="58">
        <v>30</v>
      </c>
      <c r="B61" s="46">
        <v>106</v>
      </c>
      <c r="C61" s="46">
        <v>18</v>
      </c>
      <c r="D61" s="49">
        <v>0.96360516548156738</v>
      </c>
      <c r="E61" s="49">
        <v>3.6394834518432617E-2</v>
      </c>
      <c r="F61" s="48">
        <v>1108.0208940982818</v>
      </c>
      <c r="G61" s="48">
        <v>12.543632763376774</v>
      </c>
    </row>
    <row r="62" spans="1:12" x14ac:dyDescent="0.25">
      <c r="A62" s="58">
        <v>31</v>
      </c>
      <c r="B62" s="46">
        <v>119</v>
      </c>
      <c r="C62" s="46">
        <v>20</v>
      </c>
      <c r="D62" s="49">
        <v>0.55401504039764404</v>
      </c>
      <c r="E62" s="49">
        <v>0.44598495960235596</v>
      </c>
      <c r="F62" s="48">
        <v>1302.2109848427772</v>
      </c>
      <c r="G62" s="48">
        <v>13.131539342952374</v>
      </c>
    </row>
    <row r="63" spans="1:12" x14ac:dyDescent="0.25">
      <c r="A63" s="58">
        <v>32</v>
      </c>
      <c r="B63" s="46">
        <v>105</v>
      </c>
      <c r="C63" s="46">
        <v>18</v>
      </c>
      <c r="D63" s="49">
        <v>0.19021368026733398</v>
      </c>
      <c r="E63" s="49">
        <v>0.80978631973266602</v>
      </c>
      <c r="F63" s="48">
        <v>1202.4347301006317</v>
      </c>
      <c r="G63" s="48">
        <v>13.742111201150076</v>
      </c>
    </row>
    <row r="64" spans="1:12" x14ac:dyDescent="0.25">
      <c r="A64" s="58">
        <v>33</v>
      </c>
      <c r="B64" s="46">
        <v>126</v>
      </c>
      <c r="C64" s="46">
        <v>21</v>
      </c>
      <c r="D64" s="49">
        <v>0.31858932971954346</v>
      </c>
      <c r="E64" s="49">
        <v>0.68141067028045654</v>
      </c>
      <c r="F64" s="48">
        <v>1413.5407580137253</v>
      </c>
      <c r="G64" s="48">
        <v>13.462292933464049</v>
      </c>
    </row>
    <row r="65" spans="1:7" x14ac:dyDescent="0.25">
      <c r="A65" s="58">
        <v>34</v>
      </c>
      <c r="B65" s="46">
        <v>105</v>
      </c>
      <c r="C65" s="46">
        <v>18</v>
      </c>
      <c r="D65" s="49">
        <v>0.59726119041442871</v>
      </c>
      <c r="E65" s="49">
        <v>0.40273880958557129</v>
      </c>
      <c r="F65" s="48">
        <v>1148.582344508171</v>
      </c>
      <c r="G65" s="48">
        <v>13.126655365807668</v>
      </c>
    </row>
    <row r="66" spans="1:7" x14ac:dyDescent="0.25">
      <c r="A66" s="58">
        <v>35</v>
      </c>
      <c r="B66" s="46">
        <v>115</v>
      </c>
      <c r="C66" s="46">
        <v>19</v>
      </c>
      <c r="D66" s="49">
        <v>0.714927077293396</v>
      </c>
      <c r="E66" s="49">
        <v>0.285072922706604</v>
      </c>
      <c r="F66" s="48">
        <v>1230.207066500187</v>
      </c>
      <c r="G66" s="48">
        <v>12.836943302610647</v>
      </c>
    </row>
    <row r="67" spans="1:7" x14ac:dyDescent="0.25">
      <c r="A67" s="58">
        <v>36</v>
      </c>
      <c r="B67" s="46">
        <v>110</v>
      </c>
      <c r="C67" s="46">
        <v>18</v>
      </c>
      <c r="D67" s="49">
        <v>0.76049232482910156</v>
      </c>
      <c r="E67" s="49">
        <v>0.23950767517089844</v>
      </c>
      <c r="F67" s="48">
        <v>1167.7957637786865</v>
      </c>
      <c r="G67" s="48">
        <v>12.739590150312942</v>
      </c>
    </row>
    <row r="68" spans="1:7" x14ac:dyDescent="0.25">
      <c r="A68" s="58">
        <v>37</v>
      </c>
      <c r="B68" s="46">
        <v>87</v>
      </c>
      <c r="C68" s="46">
        <v>14</v>
      </c>
      <c r="D68" s="49">
        <v>0.54972994327545166</v>
      </c>
      <c r="E68" s="49">
        <v>0.45027005672454834</v>
      </c>
      <c r="F68" s="48">
        <v>943.17860361814496</v>
      </c>
      <c r="G68" s="48">
        <v>13.009360049905448</v>
      </c>
    </row>
    <row r="69" spans="1:7" x14ac:dyDescent="0.25">
      <c r="A69" s="58">
        <v>38</v>
      </c>
      <c r="B69" s="46">
        <v>100</v>
      </c>
      <c r="C69" s="46">
        <v>17</v>
      </c>
      <c r="D69" s="49">
        <v>0.56522202491760254</v>
      </c>
      <c r="E69" s="49">
        <v>0.43477797508239746</v>
      </c>
      <c r="F69" s="48">
        <v>1095.7820248603821</v>
      </c>
      <c r="G69" s="48">
        <v>13.149384298324584</v>
      </c>
    </row>
    <row r="70" spans="1:7" x14ac:dyDescent="0.25">
      <c r="A70" s="58">
        <v>39</v>
      </c>
      <c r="B70" s="46">
        <v>88</v>
      </c>
      <c r="C70" s="46">
        <v>15</v>
      </c>
      <c r="D70" s="49">
        <v>0.41583240032196045</v>
      </c>
      <c r="E70" s="49">
        <v>0.58416759967803955</v>
      </c>
      <c r="F70" s="48">
        <v>981.45250345230102</v>
      </c>
      <c r="G70" s="48">
        <v>13.383443228895015</v>
      </c>
    </row>
    <row r="71" spans="1:7" x14ac:dyDescent="0.25">
      <c r="A71" s="58">
        <v>40</v>
      </c>
      <c r="B71" s="46">
        <v>92</v>
      </c>
      <c r="C71" s="46">
        <v>15</v>
      </c>
      <c r="D71" s="49">
        <v>0.97196054458618164</v>
      </c>
      <c r="E71" s="49">
        <v>2.8039455413818359E-2</v>
      </c>
      <c r="F71" s="48">
        <v>951.37033367156982</v>
      </c>
      <c r="G71" s="48">
        <v>12.409178265281344</v>
      </c>
    </row>
    <row r="72" spans="1:7" x14ac:dyDescent="0.25">
      <c r="A72" s="58">
        <v>41</v>
      </c>
      <c r="B72" s="46">
        <v>101</v>
      </c>
      <c r="C72" s="46">
        <v>17</v>
      </c>
      <c r="D72" s="49">
        <v>0.58282673358917236</v>
      </c>
      <c r="E72" s="49">
        <v>0.41717326641082764</v>
      </c>
      <c r="F72" s="48">
        <v>1101.9494698834419</v>
      </c>
      <c r="G72" s="48">
        <v>13.092468949110202</v>
      </c>
    </row>
    <row r="73" spans="1:7" x14ac:dyDescent="0.25">
      <c r="A73" s="58">
        <v>42</v>
      </c>
      <c r="B73" s="46">
        <v>98</v>
      </c>
      <c r="C73" s="46">
        <v>16</v>
      </c>
      <c r="D73" s="49">
        <v>3.2038450241088867E-2</v>
      </c>
      <c r="E73" s="49">
        <v>0.96796154975891113</v>
      </c>
      <c r="F73" s="48">
        <v>1129.8038921642303</v>
      </c>
      <c r="G73" s="48">
        <v>13.834333373439554</v>
      </c>
    </row>
    <row r="74" spans="1:7" x14ac:dyDescent="0.25">
      <c r="A74" s="58">
        <v>43</v>
      </c>
      <c r="B74" s="46">
        <v>94</v>
      </c>
      <c r="C74" s="46">
        <v>16</v>
      </c>
      <c r="D74" s="49">
        <v>0.1376880407333374</v>
      </c>
      <c r="E74" s="49">
        <v>0.8623119592666626</v>
      </c>
      <c r="F74" s="48">
        <v>1080.9722284555435</v>
      </c>
      <c r="G74" s="48">
        <v>13.799645469645236</v>
      </c>
    </row>
    <row r="75" spans="1:7" x14ac:dyDescent="0.25">
      <c r="A75" s="58">
        <v>44</v>
      </c>
      <c r="B75" s="46">
        <v>108</v>
      </c>
      <c r="C75" s="46">
        <v>18</v>
      </c>
      <c r="D75" s="49">
        <v>0.15323162078857422</v>
      </c>
      <c r="E75" s="49">
        <v>0.84676837921142578</v>
      </c>
      <c r="F75" s="48">
        <v>1234.1082410430909</v>
      </c>
      <c r="G75" s="48">
        <v>13.712313789367677</v>
      </c>
    </row>
    <row r="76" spans="1:7" x14ac:dyDescent="0.25">
      <c r="A76" s="58">
        <v>45</v>
      </c>
      <c r="B76" s="46">
        <v>83</v>
      </c>
      <c r="C76" s="46">
        <v>14</v>
      </c>
      <c r="D76" s="49">
        <v>0.37539923191070557</v>
      </c>
      <c r="E76" s="49">
        <v>0.62460076808929443</v>
      </c>
      <c r="F76" s="48">
        <v>927.70074832677835</v>
      </c>
      <c r="G76" s="48">
        <v>13.412540939664265</v>
      </c>
    </row>
    <row r="77" spans="1:7" x14ac:dyDescent="0.25">
      <c r="A77" s="58">
        <v>46</v>
      </c>
      <c r="B77" s="46">
        <v>74</v>
      </c>
      <c r="C77" s="46">
        <v>12</v>
      </c>
      <c r="D77" s="49">
        <v>0.6153862476348877</v>
      </c>
      <c r="E77" s="49">
        <v>0.3846137523651123</v>
      </c>
      <c r="F77" s="48">
        <v>797.50138627052308</v>
      </c>
      <c r="G77" s="48">
        <v>12.932454912494968</v>
      </c>
    </row>
    <row r="78" spans="1:7" x14ac:dyDescent="0.25">
      <c r="A78" s="58">
        <v>47</v>
      </c>
      <c r="B78" s="46">
        <v>111</v>
      </c>
      <c r="C78" s="46">
        <v>18</v>
      </c>
      <c r="D78" s="49">
        <v>0.43957602977752686</v>
      </c>
      <c r="E78" s="49">
        <v>0.56042397022247314</v>
      </c>
      <c r="F78" s="48">
        <v>1220.840896475315</v>
      </c>
      <c r="G78" s="48">
        <v>13.198279961895299</v>
      </c>
    </row>
    <row r="79" spans="1:7" x14ac:dyDescent="0.25">
      <c r="A79" s="58">
        <v>48</v>
      </c>
      <c r="B79" s="46">
        <v>96</v>
      </c>
      <c r="C79" s="46">
        <v>16</v>
      </c>
      <c r="D79" s="49">
        <v>0.3360438346862793</v>
      </c>
      <c r="E79" s="49">
        <v>0.6639561653137207</v>
      </c>
      <c r="F79" s="48">
        <v>1074.8721377563477</v>
      </c>
      <c r="G79" s="48">
        <v>13.435901721954345</v>
      </c>
    </row>
    <row r="80" spans="1:7" x14ac:dyDescent="0.25">
      <c r="A80" s="58">
        <v>49</v>
      </c>
      <c r="B80" s="46">
        <v>111</v>
      </c>
      <c r="C80" s="46">
        <v>18</v>
      </c>
      <c r="D80" s="49">
        <v>0.21309196949005127</v>
      </c>
      <c r="E80" s="49">
        <v>0.78690803050994873</v>
      </c>
      <c r="F80" s="48">
        <v>1252.5169571471213</v>
      </c>
      <c r="G80" s="48">
        <v>13.54072386104996</v>
      </c>
    </row>
    <row r="81" spans="1:7" x14ac:dyDescent="0.25">
      <c r="A81" s="58">
        <v>50</v>
      </c>
      <c r="B81" s="46">
        <v>66</v>
      </c>
      <c r="C81" s="46">
        <v>11</v>
      </c>
      <c r="D81" s="49">
        <v>0.88606619834899902</v>
      </c>
      <c r="E81" s="49">
        <v>0.11393380165100098</v>
      </c>
      <c r="F81" s="48">
        <v>693.2347349452973</v>
      </c>
      <c r="G81" s="48">
        <v>12.604267908096315</v>
      </c>
    </row>
    <row r="82" spans="1:7" x14ac:dyDescent="0.25">
      <c r="A82" s="58">
        <v>51</v>
      </c>
      <c r="B82" s="46">
        <v>66</v>
      </c>
      <c r="C82" s="46">
        <v>11</v>
      </c>
      <c r="D82" s="49">
        <v>0.45870339870452881</v>
      </c>
      <c r="E82" s="49">
        <v>0.54129660129547119</v>
      </c>
      <c r="F82" s="48">
        <v>728.77422536373138</v>
      </c>
      <c r="G82" s="48">
        <v>13.250440461158751</v>
      </c>
    </row>
    <row r="83" spans="1:7" x14ac:dyDescent="0.25">
      <c r="A83" s="58">
        <v>52</v>
      </c>
      <c r="B83" s="46">
        <v>113</v>
      </c>
      <c r="C83" s="46">
        <v>19</v>
      </c>
      <c r="D83" s="49">
        <v>0.75526046752929688</v>
      </c>
      <c r="E83" s="49">
        <v>0.24473953247070313</v>
      </c>
      <c r="F83" s="48">
        <v>1208.0260146331786</v>
      </c>
      <c r="G83" s="48">
        <v>12.828594845662074</v>
      </c>
    </row>
    <row r="84" spans="1:7" x14ac:dyDescent="0.25">
      <c r="A84" s="58">
        <v>53</v>
      </c>
      <c r="B84" s="46">
        <v>119</v>
      </c>
      <c r="C84" s="46">
        <v>20</v>
      </c>
      <c r="D84" s="49">
        <v>0.20967447757720947</v>
      </c>
      <c r="E84" s="49">
        <v>0.79032552242279053</v>
      </c>
      <c r="F84" s="48">
        <v>1353.8414088320731</v>
      </c>
      <c r="G84" s="48">
        <v>13.652182273936869</v>
      </c>
    </row>
    <row r="85" spans="1:7" x14ac:dyDescent="0.25">
      <c r="A85" s="58">
        <v>54</v>
      </c>
      <c r="B85" s="46">
        <v>98</v>
      </c>
      <c r="C85" s="46">
        <v>16</v>
      </c>
      <c r="D85" s="49">
        <v>0.86800408363342285</v>
      </c>
      <c r="E85" s="49">
        <v>0.13199591636657715</v>
      </c>
      <c r="F85" s="48">
        <v>1026.5788557529449</v>
      </c>
      <c r="G85" s="48">
        <v>12.570353335750346</v>
      </c>
    </row>
    <row r="86" spans="1:7" x14ac:dyDescent="0.25">
      <c r="A86" s="58">
        <v>55</v>
      </c>
      <c r="B86" s="46">
        <v>119</v>
      </c>
      <c r="C86" s="46">
        <v>20</v>
      </c>
      <c r="D86" s="49">
        <v>0.41040217876434326</v>
      </c>
      <c r="E86" s="49">
        <v>0.58959782123565674</v>
      </c>
      <c r="F86" s="48">
        <v>1323.7442973160744</v>
      </c>
      <c r="G86" s="48">
        <v>13.348681989741925</v>
      </c>
    </row>
    <row r="87" spans="1:7" x14ac:dyDescent="0.25">
      <c r="A87" s="58">
        <v>56</v>
      </c>
      <c r="B87" s="46">
        <v>98</v>
      </c>
      <c r="C87" s="46">
        <v>16</v>
      </c>
      <c r="D87" s="49">
        <v>0.34886980056762695</v>
      </c>
      <c r="E87" s="49">
        <v>0.65113019943237305</v>
      </c>
      <c r="F87" s="48">
        <v>1090.6815570259093</v>
      </c>
      <c r="G87" s="48">
        <v>13.35528437174583</v>
      </c>
    </row>
    <row r="88" spans="1:7" x14ac:dyDescent="0.25">
      <c r="A88" s="58">
        <v>57</v>
      </c>
      <c r="B88" s="46">
        <v>86</v>
      </c>
      <c r="C88" s="46">
        <v>14</v>
      </c>
      <c r="D88" s="49">
        <v>0.80704128742218018</v>
      </c>
      <c r="E88" s="49">
        <v>0.19295871257781982</v>
      </c>
      <c r="F88" s="48">
        <v>906.86900609493262</v>
      </c>
      <c r="G88" s="48">
        <v>12.653986131557197</v>
      </c>
    </row>
    <row r="89" spans="1:7" x14ac:dyDescent="0.25">
      <c r="A89" s="58">
        <v>58</v>
      </c>
      <c r="B89" s="46">
        <v>102</v>
      </c>
      <c r="C89" s="46">
        <v>17</v>
      </c>
      <c r="D89" s="49">
        <v>0.53825068473815918</v>
      </c>
      <c r="E89" s="49">
        <v>0.46174931526184082</v>
      </c>
      <c r="F89" s="48">
        <v>1116.0640219974518</v>
      </c>
      <c r="G89" s="48">
        <v>13.130164964675904</v>
      </c>
    </row>
    <row r="90" spans="1:7" x14ac:dyDescent="0.25">
      <c r="A90" s="58">
        <v>59</v>
      </c>
      <c r="B90" s="46">
        <v>106</v>
      </c>
      <c r="C90" s="46">
        <v>18</v>
      </c>
      <c r="D90" s="49">
        <v>8.8129401206970215E-2</v>
      </c>
      <c r="E90" s="49">
        <v>0.91187059879302979</v>
      </c>
      <c r="F90" s="48">
        <v>1224.9494371747969</v>
      </c>
      <c r="G90" s="48">
        <v>13.867352118959966</v>
      </c>
    </row>
    <row r="91" spans="1:7" x14ac:dyDescent="0.25">
      <c r="A91" s="58">
        <v>60</v>
      </c>
      <c r="B91" s="46">
        <v>111</v>
      </c>
      <c r="C91" s="46">
        <v>18</v>
      </c>
      <c r="D91" s="49">
        <v>0.25798511505126953</v>
      </c>
      <c r="E91" s="49">
        <v>0.74201488494873047</v>
      </c>
      <c r="F91" s="48">
        <v>1246.2382018089295</v>
      </c>
      <c r="G91" s="48">
        <v>13.472845424961401</v>
      </c>
    </row>
    <row r="92" spans="1:7" x14ac:dyDescent="0.25">
      <c r="A92" s="58">
        <v>61</v>
      </c>
      <c r="B92" s="46">
        <v>68</v>
      </c>
      <c r="C92" s="46">
        <v>11</v>
      </c>
      <c r="D92" s="49">
        <v>0.27521193027496338</v>
      </c>
      <c r="E92" s="49">
        <v>0.72478806972503662</v>
      </c>
      <c r="F92" s="48">
        <v>761.57984181404106</v>
      </c>
      <c r="G92" s="48">
        <v>13.439644267306607</v>
      </c>
    </row>
    <row r="93" spans="1:7" x14ac:dyDescent="0.25">
      <c r="A93" s="58">
        <v>62</v>
      </c>
      <c r="B93" s="46">
        <v>135</v>
      </c>
      <c r="C93" s="46">
        <v>22</v>
      </c>
      <c r="D93" s="49">
        <v>0.32698178291320801</v>
      </c>
      <c r="E93" s="49">
        <v>0.67301821708679199</v>
      </c>
      <c r="F93" s="48">
        <v>1505.5803987264633</v>
      </c>
      <c r="G93" s="48">
        <v>13.382936877568563</v>
      </c>
    </row>
    <row r="94" spans="1:7" x14ac:dyDescent="0.25">
      <c r="A94" s="58">
        <v>63</v>
      </c>
      <c r="B94" s="46">
        <v>108</v>
      </c>
      <c r="C94" s="46">
        <v>18</v>
      </c>
      <c r="D94" s="49">
        <v>0.36346709728240967</v>
      </c>
      <c r="E94" s="49">
        <v>0.63653290271759033</v>
      </c>
      <c r="F94" s="48">
        <v>1205.4993974018096</v>
      </c>
      <c r="G94" s="48">
        <v>13.394437748908993</v>
      </c>
    </row>
    <row r="95" spans="1:7" x14ac:dyDescent="0.25">
      <c r="A95" s="58">
        <v>64</v>
      </c>
      <c r="B95" s="46">
        <v>93</v>
      </c>
      <c r="C95" s="46">
        <v>16</v>
      </c>
      <c r="D95" s="49">
        <v>0.32684469223022461</v>
      </c>
      <c r="E95" s="49">
        <v>0.67315530776977539</v>
      </c>
      <c r="F95" s="48">
        <v>1049.8603389644622</v>
      </c>
      <c r="G95" s="48">
        <v>13.546585018896286</v>
      </c>
    </row>
    <row r="96" spans="1:7" x14ac:dyDescent="0.25">
      <c r="A96" s="58">
        <v>65</v>
      </c>
      <c r="B96" s="46">
        <v>84</v>
      </c>
      <c r="C96" s="46">
        <v>14</v>
      </c>
      <c r="D96" s="49">
        <v>0.21233093738555908</v>
      </c>
      <c r="E96" s="49">
        <v>0.78766906261444092</v>
      </c>
      <c r="F96" s="48">
        <v>953.60689358711238</v>
      </c>
      <c r="G96" s="48">
        <v>13.622955622673032</v>
      </c>
    </row>
    <row r="97" spans="1:7" x14ac:dyDescent="0.25">
      <c r="A97" s="58">
        <v>66</v>
      </c>
      <c r="B97" s="46">
        <v>96</v>
      </c>
      <c r="C97" s="46">
        <v>16</v>
      </c>
      <c r="D97" s="49">
        <v>0.61749815940856934</v>
      </c>
      <c r="E97" s="49">
        <v>0.38250184059143066</v>
      </c>
      <c r="F97" s="48">
        <v>1040.8274226379394</v>
      </c>
      <c r="G97" s="48">
        <v>13.010342782974242</v>
      </c>
    </row>
    <row r="98" spans="1:7" x14ac:dyDescent="0.25">
      <c r="A98" s="58">
        <v>67</v>
      </c>
      <c r="B98" s="46">
        <v>86</v>
      </c>
      <c r="C98" s="46">
        <v>14</v>
      </c>
      <c r="D98" s="49">
        <v>0.68612229824066162</v>
      </c>
      <c r="E98" s="49">
        <v>0.31387770175933838</v>
      </c>
      <c r="F98" s="48">
        <v>919.97178776264195</v>
      </c>
      <c r="G98" s="48">
        <v>12.836815643199655</v>
      </c>
    </row>
    <row r="99" spans="1:7" x14ac:dyDescent="0.25">
      <c r="A99" s="58">
        <v>68</v>
      </c>
      <c r="B99" s="46">
        <v>105</v>
      </c>
      <c r="C99" s="46">
        <v>18</v>
      </c>
      <c r="D99" s="49">
        <v>0.60281181335449219</v>
      </c>
      <c r="E99" s="49">
        <v>0.39718818664550781</v>
      </c>
      <c r="F99" s="48">
        <v>1147.8479970932008</v>
      </c>
      <c r="G99" s="48">
        <v>13.118262823922294</v>
      </c>
    </row>
    <row r="100" spans="1:7" x14ac:dyDescent="0.25">
      <c r="A100" s="58">
        <v>69</v>
      </c>
      <c r="B100" s="46">
        <v>72</v>
      </c>
      <c r="C100" s="46">
        <v>12</v>
      </c>
      <c r="D100" s="49">
        <v>4.4667840003967285E-2</v>
      </c>
      <c r="E100" s="49">
        <v>0.95533215999603271</v>
      </c>
      <c r="F100" s="48">
        <v>832.58773355484004</v>
      </c>
      <c r="G100" s="48">
        <v>13.876462225914</v>
      </c>
    </row>
    <row r="101" spans="1:7" x14ac:dyDescent="0.25">
      <c r="A101" s="58">
        <v>70</v>
      </c>
      <c r="B101" s="46">
        <v>80</v>
      </c>
      <c r="C101" s="46">
        <v>13</v>
      </c>
      <c r="D101" s="49">
        <v>0.24622559547424316</v>
      </c>
      <c r="E101" s="49">
        <v>0.75377440452575684</v>
      </c>
      <c r="F101" s="48">
        <v>899.7804599761962</v>
      </c>
      <c r="G101" s="48">
        <v>13.496706899642941</v>
      </c>
    </row>
    <row r="102" spans="1:7" x14ac:dyDescent="0.25">
      <c r="A102" s="58">
        <v>71</v>
      </c>
      <c r="B102" s="46">
        <v>95</v>
      </c>
      <c r="C102" s="46">
        <v>16</v>
      </c>
      <c r="D102" s="49">
        <v>0.58392703533172607</v>
      </c>
      <c r="E102" s="49">
        <v>0.41607296466827393</v>
      </c>
      <c r="F102" s="48">
        <v>1036.5039338707925</v>
      </c>
      <c r="G102" s="48">
        <v>13.092681269946853</v>
      </c>
    </row>
    <row r="103" spans="1:7" x14ac:dyDescent="0.25">
      <c r="A103" s="58">
        <v>72</v>
      </c>
      <c r="B103" s="46">
        <v>89</v>
      </c>
      <c r="C103" s="46">
        <v>15</v>
      </c>
      <c r="D103" s="49">
        <v>0.83637475967407227</v>
      </c>
      <c r="E103" s="49">
        <v>0.16362524032592773</v>
      </c>
      <c r="F103" s="48">
        <v>942.88893445014958</v>
      </c>
      <c r="G103" s="48">
        <v>12.713109228541342</v>
      </c>
    </row>
    <row r="104" spans="1:7" x14ac:dyDescent="0.25">
      <c r="A104" s="58">
        <v>73</v>
      </c>
      <c r="B104" s="46">
        <v>125</v>
      </c>
      <c r="C104" s="46">
        <v>21</v>
      </c>
      <c r="D104" s="49">
        <v>0.52661716938018799</v>
      </c>
      <c r="E104" s="49">
        <v>0.47338283061981201</v>
      </c>
      <c r="F104" s="48">
        <v>1372.0577958226204</v>
      </c>
      <c r="G104" s="48">
        <v>13.171754839897156</v>
      </c>
    </row>
    <row r="105" spans="1:7" x14ac:dyDescent="0.25">
      <c r="A105" s="58">
        <v>74</v>
      </c>
      <c r="B105" s="46">
        <v>94</v>
      </c>
      <c r="C105" s="46">
        <v>16</v>
      </c>
      <c r="D105" s="49">
        <v>2.7148723602294922E-3</v>
      </c>
      <c r="E105" s="49">
        <v>0.99728512763977051</v>
      </c>
      <c r="F105" s="48">
        <v>1096.9584505176545</v>
      </c>
      <c r="G105" s="48">
        <v>14.003724900225375</v>
      </c>
    </row>
    <row r="106" spans="1:7" x14ac:dyDescent="0.25">
      <c r="A106" s="58">
        <v>75</v>
      </c>
      <c r="B106" s="46">
        <v>87</v>
      </c>
      <c r="C106" s="46">
        <v>14</v>
      </c>
      <c r="D106" s="49">
        <v>0.16283833980560303</v>
      </c>
      <c r="E106" s="49">
        <v>0.83716166019439697</v>
      </c>
      <c r="F106" s="48">
        <v>985.58966119050979</v>
      </c>
      <c r="G106" s="48">
        <v>13.594340154351858</v>
      </c>
    </row>
    <row r="107" spans="1:7" x14ac:dyDescent="0.25">
      <c r="A107" s="58">
        <v>76</v>
      </c>
      <c r="B107" s="46">
        <v>107</v>
      </c>
      <c r="C107" s="46">
        <v>18</v>
      </c>
      <c r="D107" s="49">
        <v>0.98114681243896484</v>
      </c>
      <c r="E107" s="49">
        <v>1.8853187561035156E-2</v>
      </c>
      <c r="F107" s="48">
        <v>1113.5617867469789</v>
      </c>
      <c r="G107" s="48">
        <v>12.488543402769857</v>
      </c>
    </row>
    <row r="108" spans="1:7" x14ac:dyDescent="0.25">
      <c r="A108" s="58">
        <v>77</v>
      </c>
      <c r="B108" s="46">
        <v>90</v>
      </c>
      <c r="C108" s="46">
        <v>15</v>
      </c>
      <c r="D108" s="49">
        <v>0.24069845676422119</v>
      </c>
      <c r="E108" s="49">
        <v>0.75930154323577881</v>
      </c>
      <c r="F108" s="48">
        <v>1018.5047950029373</v>
      </c>
      <c r="G108" s="48">
        <v>13.580063933372495</v>
      </c>
    </row>
    <row r="109" spans="1:7" x14ac:dyDescent="0.25">
      <c r="A109" s="58">
        <v>78</v>
      </c>
      <c r="B109" s="46">
        <v>123</v>
      </c>
      <c r="C109" s="46">
        <v>20</v>
      </c>
      <c r="D109" s="49">
        <v>0.12964177131652832</v>
      </c>
      <c r="E109" s="49">
        <v>0.87035822868347168</v>
      </c>
      <c r="F109" s="48">
        <v>1401.6681182813643</v>
      </c>
      <c r="G109" s="48">
        <v>13.674810910062089</v>
      </c>
    </row>
    <row r="110" spans="1:7" x14ac:dyDescent="0.25">
      <c r="A110" s="58">
        <v>79</v>
      </c>
      <c r="B110" s="46">
        <v>104</v>
      </c>
      <c r="C110" s="46">
        <v>17</v>
      </c>
      <c r="D110" s="49">
        <v>0.60693824291229248</v>
      </c>
      <c r="E110" s="49">
        <v>0.39306175708770752</v>
      </c>
      <c r="F110" s="48">
        <v>1123.9468126487732</v>
      </c>
      <c r="G110" s="48">
        <v>12.968617069024305</v>
      </c>
    </row>
    <row r="111" spans="1:7" x14ac:dyDescent="0.25">
      <c r="A111" s="58">
        <v>80</v>
      </c>
      <c r="B111" s="46">
        <v>106</v>
      </c>
      <c r="C111" s="46">
        <v>18</v>
      </c>
      <c r="D111" s="49">
        <v>0.69386625289916992</v>
      </c>
      <c r="E111" s="49">
        <v>0.30613374710083008</v>
      </c>
      <c r="F111" s="48">
        <v>1144.0472232627869</v>
      </c>
      <c r="G111" s="48">
        <v>12.951477999201362</v>
      </c>
    </row>
    <row r="112" spans="1:7" x14ac:dyDescent="0.25">
      <c r="A112" s="58">
        <v>81</v>
      </c>
      <c r="B112" s="46">
        <v>121</v>
      </c>
      <c r="C112" s="46">
        <v>20</v>
      </c>
      <c r="D112" s="49">
        <v>9.7556233406066895E-2</v>
      </c>
      <c r="E112" s="49">
        <v>0.90244376659393311</v>
      </c>
      <c r="F112" s="48">
        <v>1388.6465766549109</v>
      </c>
      <c r="G112" s="48">
        <v>13.771701586660273</v>
      </c>
    </row>
    <row r="113" spans="1:7" x14ac:dyDescent="0.25">
      <c r="A113" s="58">
        <v>82</v>
      </c>
      <c r="B113" s="46">
        <v>95</v>
      </c>
      <c r="C113" s="46">
        <v>16</v>
      </c>
      <c r="D113" s="49">
        <v>0.82280707359313965</v>
      </c>
      <c r="E113" s="49">
        <v>0.17719292640686035</v>
      </c>
      <c r="F113" s="48">
        <v>1007.9099932909012</v>
      </c>
      <c r="G113" s="48">
        <v>12.731494652095595</v>
      </c>
    </row>
    <row r="114" spans="1:7" x14ac:dyDescent="0.25">
      <c r="A114" s="58">
        <v>83</v>
      </c>
      <c r="B114" s="46">
        <v>88</v>
      </c>
      <c r="C114" s="46">
        <v>15</v>
      </c>
      <c r="D114" s="49">
        <v>0.67843377590179443</v>
      </c>
      <c r="E114" s="49">
        <v>0.32156622409820557</v>
      </c>
      <c r="F114" s="48">
        <v>952.335262928009</v>
      </c>
      <c r="G114" s="48">
        <v>12.986389949018303</v>
      </c>
    </row>
    <row r="115" spans="1:7" x14ac:dyDescent="0.25">
      <c r="A115" s="58">
        <v>84</v>
      </c>
      <c r="B115" s="46">
        <v>95</v>
      </c>
      <c r="C115" s="46">
        <v>16</v>
      </c>
      <c r="D115" s="49">
        <v>0.8343963623046875</v>
      </c>
      <c r="E115" s="49">
        <v>0.1656036376953125</v>
      </c>
      <c r="F115" s="48">
        <v>1006.522755432129</v>
      </c>
      <c r="G115" s="48">
        <v>12.713971647563733</v>
      </c>
    </row>
    <row r="116" spans="1:7" x14ac:dyDescent="0.25">
      <c r="A116" s="58">
        <v>85</v>
      </c>
      <c r="B116" s="46">
        <v>97</v>
      </c>
      <c r="C116" s="46">
        <v>16</v>
      </c>
      <c r="D116" s="49">
        <v>0.8359600305557251</v>
      </c>
      <c r="E116" s="49">
        <v>0.1640399694442749</v>
      </c>
      <c r="F116" s="48">
        <v>1022.4689650654793</v>
      </c>
      <c r="G116" s="48">
        <v>12.649100598748198</v>
      </c>
    </row>
    <row r="117" spans="1:7" x14ac:dyDescent="0.25">
      <c r="A117" s="58">
        <v>86</v>
      </c>
      <c r="B117" s="46">
        <v>84</v>
      </c>
      <c r="C117" s="46">
        <v>14</v>
      </c>
      <c r="D117" s="49">
        <v>0.73113656044006348</v>
      </c>
      <c r="E117" s="49">
        <v>0.26886343955993652</v>
      </c>
      <c r="F117" s="48">
        <v>898.69650644302374</v>
      </c>
      <c r="G117" s="48">
        <v>12.838521520614625</v>
      </c>
    </row>
    <row r="118" spans="1:7" x14ac:dyDescent="0.25">
      <c r="A118" s="58">
        <v>87</v>
      </c>
      <c r="B118" s="46">
        <v>126</v>
      </c>
      <c r="C118" s="46">
        <v>21</v>
      </c>
      <c r="D118" s="49">
        <v>0.21765697002410889</v>
      </c>
      <c r="E118" s="49">
        <v>0.78234302997589111</v>
      </c>
      <c r="F118" s="48">
        <v>1429.5647794389724</v>
      </c>
      <c r="G118" s="48">
        <v>13.614902661323546</v>
      </c>
    </row>
    <row r="119" spans="1:7" x14ac:dyDescent="0.25">
      <c r="A119" s="58">
        <v>88</v>
      </c>
      <c r="B119" s="46">
        <v>142</v>
      </c>
      <c r="C119" s="46">
        <v>24</v>
      </c>
      <c r="D119" s="49">
        <v>0.96572542190551758</v>
      </c>
      <c r="E119" s="49">
        <v>3.4274578094482422E-2</v>
      </c>
      <c r="F119" s="48">
        <v>1482.2524075126648</v>
      </c>
      <c r="G119" s="48">
        <v>12.526076683205618</v>
      </c>
    </row>
    <row r="120" spans="1:7" x14ac:dyDescent="0.25">
      <c r="A120" s="58">
        <v>89</v>
      </c>
      <c r="B120" s="46">
        <v>123</v>
      </c>
      <c r="C120" s="46">
        <v>20</v>
      </c>
      <c r="D120" s="49">
        <v>0.5228043794631958</v>
      </c>
      <c r="E120" s="49">
        <v>0.4771956205368042</v>
      </c>
      <c r="F120" s="48">
        <v>1340.735777270794</v>
      </c>
      <c r="G120" s="48">
        <v>13.080349046544331</v>
      </c>
    </row>
    <row r="121" spans="1:7" x14ac:dyDescent="0.25">
      <c r="A121" s="58">
        <v>90</v>
      </c>
      <c r="B121" s="46">
        <v>108</v>
      </c>
      <c r="C121" s="46">
        <v>18</v>
      </c>
      <c r="D121" s="49">
        <v>0.4566810131072998</v>
      </c>
      <c r="E121" s="49">
        <v>0.5433189868927002</v>
      </c>
      <c r="F121" s="48">
        <v>1192.8148477363586</v>
      </c>
      <c r="G121" s="48">
        <v>13.253498308181761</v>
      </c>
    </row>
    <row r="122" spans="1:7" x14ac:dyDescent="0.25">
      <c r="A122" s="58">
        <v>91</v>
      </c>
      <c r="B122" s="46">
        <v>80</v>
      </c>
      <c r="C122" s="46">
        <v>13</v>
      </c>
      <c r="D122" s="49">
        <v>0.64306485652923584</v>
      </c>
      <c r="E122" s="49">
        <v>0.35693514347076416</v>
      </c>
      <c r="F122" s="48">
        <v>859.77906246185307</v>
      </c>
      <c r="G122" s="48">
        <v>12.896685936927796</v>
      </c>
    </row>
    <row r="123" spans="1:7" x14ac:dyDescent="0.25">
      <c r="A123" s="58">
        <v>92</v>
      </c>
      <c r="B123" s="46">
        <v>106</v>
      </c>
      <c r="C123" s="46">
        <v>18</v>
      </c>
      <c r="D123" s="49">
        <v>0.85396671295166016</v>
      </c>
      <c r="E123" s="49">
        <v>0.14603328704833984</v>
      </c>
      <c r="F123" s="48">
        <v>1122.6642058181762</v>
      </c>
      <c r="G123" s="48">
        <v>12.709406103601994</v>
      </c>
    </row>
    <row r="124" spans="1:7" x14ac:dyDescent="0.25">
      <c r="A124" s="58">
        <v>93</v>
      </c>
      <c r="B124" s="46">
        <v>93</v>
      </c>
      <c r="C124" s="46">
        <v>16</v>
      </c>
      <c r="D124" s="49">
        <v>5.3108811378479004E-2</v>
      </c>
      <c r="E124" s="49">
        <v>0.946891188621521</v>
      </c>
      <c r="F124" s="48">
        <v>1081.9367094826698</v>
      </c>
      <c r="G124" s="48">
        <v>13.960473670744125</v>
      </c>
    </row>
    <row r="125" spans="1:7" x14ac:dyDescent="0.25">
      <c r="A125" s="58">
        <v>94</v>
      </c>
      <c r="B125" s="46">
        <v>100</v>
      </c>
      <c r="C125" s="46">
        <v>17</v>
      </c>
      <c r="D125" s="49">
        <v>5.4616212844848633E-2</v>
      </c>
      <c r="E125" s="49">
        <v>0.94538378715515137</v>
      </c>
      <c r="F125" s="48">
        <v>1160.1183571815491</v>
      </c>
      <c r="G125" s="48">
        <v>13.921420286178588</v>
      </c>
    </row>
    <row r="126" spans="1:7" x14ac:dyDescent="0.25">
      <c r="A126" s="58">
        <v>95</v>
      </c>
      <c r="B126" s="46">
        <v>94</v>
      </c>
      <c r="C126" s="46">
        <v>16</v>
      </c>
      <c r="D126" s="49">
        <v>0.45123946666717529</v>
      </c>
      <c r="E126" s="49">
        <v>0.54876053333282471</v>
      </c>
      <c r="F126" s="48">
        <v>1043.8351975679398</v>
      </c>
      <c r="G126" s="48">
        <v>13.325555713633273</v>
      </c>
    </row>
    <row r="127" spans="1:7" x14ac:dyDescent="0.25">
      <c r="A127" s="58">
        <v>96</v>
      </c>
      <c r="B127" s="46">
        <v>89</v>
      </c>
      <c r="C127" s="46">
        <v>15</v>
      </c>
      <c r="D127" s="49">
        <v>0.96835851669311523</v>
      </c>
      <c r="E127" s="49">
        <v>3.1641483306884766E-2</v>
      </c>
      <c r="F127" s="48">
        <v>928.08827593803403</v>
      </c>
      <c r="G127" s="48">
        <v>12.513549787928548</v>
      </c>
    </row>
    <row r="128" spans="1:7" x14ac:dyDescent="0.25">
      <c r="A128" s="58">
        <v>97</v>
      </c>
      <c r="B128" s="46">
        <v>55</v>
      </c>
      <c r="C128" s="46">
        <v>9</v>
      </c>
      <c r="D128" s="49">
        <v>0.65001785755157471</v>
      </c>
      <c r="E128" s="49">
        <v>0.34998214244842529</v>
      </c>
      <c r="F128" s="48">
        <v>591.5537624716759</v>
      </c>
      <c r="G128" s="48">
        <v>12.906627544836564</v>
      </c>
    </row>
    <row r="129" spans="1:7" x14ac:dyDescent="0.25">
      <c r="A129" s="58">
        <v>98</v>
      </c>
      <c r="B129" s="46">
        <v>106</v>
      </c>
      <c r="C129" s="46">
        <v>18</v>
      </c>
      <c r="D129" s="49">
        <v>0.53324294090270996</v>
      </c>
      <c r="E129" s="49">
        <v>0.46675705909729004</v>
      </c>
      <c r="F129" s="48">
        <v>1165.500072813034</v>
      </c>
      <c r="G129" s="48">
        <v>13.194340446940007</v>
      </c>
    </row>
    <row r="130" spans="1:7" x14ac:dyDescent="0.25">
      <c r="A130" s="58">
        <v>99</v>
      </c>
      <c r="B130" s="46">
        <v>62</v>
      </c>
      <c r="C130" s="46">
        <v>10</v>
      </c>
      <c r="D130" s="49">
        <v>0.71688783168792725</v>
      </c>
      <c r="E130" s="49">
        <v>0.28311216831207275</v>
      </c>
      <c r="F130" s="48">
        <v>659.43672258853917</v>
      </c>
      <c r="G130" s="48">
        <v>12.763291404939467</v>
      </c>
    </row>
    <row r="131" spans="1:7" x14ac:dyDescent="0.25">
      <c r="A131" s="58">
        <v>100</v>
      </c>
      <c r="B131" s="46">
        <v>90</v>
      </c>
      <c r="C131" s="46">
        <v>15</v>
      </c>
      <c r="D131" s="49">
        <v>0.98126411437988281</v>
      </c>
      <c r="E131" s="49">
        <v>1.8735885620117188E-2</v>
      </c>
      <c r="F131" s="48">
        <v>934.52464942932136</v>
      </c>
      <c r="G131" s="48">
        <v>12.460328659057616</v>
      </c>
    </row>
    <row r="132" spans="1:7" x14ac:dyDescent="0.25">
      <c r="A132" s="58">
        <v>101</v>
      </c>
      <c r="B132" s="46"/>
      <c r="C132" s="46"/>
      <c r="D132" s="49"/>
      <c r="E132" s="49"/>
      <c r="F132" s="48"/>
      <c r="G132" s="48"/>
    </row>
    <row r="133" spans="1:7" x14ac:dyDescent="0.25">
      <c r="A133" s="58">
        <v>102</v>
      </c>
      <c r="B133" s="46"/>
      <c r="C133" s="46"/>
      <c r="D133" s="49"/>
      <c r="E133" s="49"/>
      <c r="F133" s="48"/>
      <c r="G133" s="48"/>
    </row>
    <row r="134" spans="1:7" x14ac:dyDescent="0.25">
      <c r="A134" s="58">
        <v>103</v>
      </c>
      <c r="B134" s="46"/>
      <c r="C134" s="46"/>
      <c r="D134" s="49"/>
      <c r="E134" s="49"/>
      <c r="F134" s="48"/>
      <c r="G134" s="48"/>
    </row>
    <row r="135" spans="1:7" x14ac:dyDescent="0.25">
      <c r="A135" s="58">
        <v>104</v>
      </c>
      <c r="B135" s="46"/>
      <c r="C135" s="46"/>
      <c r="D135" s="49"/>
      <c r="E135" s="49"/>
      <c r="F135" s="48"/>
      <c r="G135" s="48"/>
    </row>
    <row r="136" spans="1:7" x14ac:dyDescent="0.25">
      <c r="A136" s="58">
        <v>105</v>
      </c>
      <c r="B136" s="46"/>
      <c r="C136" s="46"/>
      <c r="D136" s="49"/>
      <c r="E136" s="49"/>
      <c r="F136" s="48"/>
      <c r="G136" s="48"/>
    </row>
    <row r="137" spans="1:7" x14ac:dyDescent="0.25">
      <c r="A137" s="58">
        <v>106</v>
      </c>
      <c r="B137" s="46"/>
      <c r="C137" s="46"/>
      <c r="D137" s="49"/>
      <c r="E137" s="49"/>
      <c r="F137" s="48"/>
      <c r="G137" s="48"/>
    </row>
    <row r="138" spans="1:7" x14ac:dyDescent="0.25">
      <c r="A138" s="58">
        <v>107</v>
      </c>
      <c r="B138" s="46"/>
      <c r="C138" s="46"/>
      <c r="D138" s="49"/>
      <c r="E138" s="49"/>
      <c r="F138" s="48"/>
      <c r="G138" s="48"/>
    </row>
    <row r="139" spans="1:7" x14ac:dyDescent="0.25">
      <c r="A139" s="58">
        <v>108</v>
      </c>
      <c r="B139" s="46"/>
      <c r="C139" s="46"/>
      <c r="D139" s="49"/>
      <c r="E139" s="49"/>
      <c r="F139" s="48"/>
      <c r="G139" s="48"/>
    </row>
    <row r="140" spans="1:7" x14ac:dyDescent="0.25">
      <c r="A140" s="58">
        <v>109</v>
      </c>
      <c r="B140" s="46"/>
      <c r="C140" s="46"/>
      <c r="D140" s="49"/>
      <c r="E140" s="49"/>
      <c r="F140" s="48"/>
      <c r="G140" s="48"/>
    </row>
    <row r="141" spans="1:7" x14ac:dyDescent="0.25">
      <c r="A141" s="58">
        <v>110</v>
      </c>
      <c r="B141" s="46"/>
      <c r="C141" s="46"/>
      <c r="D141" s="49"/>
      <c r="E141" s="49"/>
      <c r="F141" s="48"/>
      <c r="G141" s="48"/>
    </row>
    <row r="142" spans="1:7" x14ac:dyDescent="0.25">
      <c r="A142" s="58">
        <v>111</v>
      </c>
      <c r="B142" s="46"/>
      <c r="C142" s="46"/>
      <c r="D142" s="49"/>
      <c r="E142" s="49"/>
      <c r="F142" s="48"/>
      <c r="G142" s="48"/>
    </row>
    <row r="143" spans="1:7" x14ac:dyDescent="0.25">
      <c r="A143" s="58">
        <v>112</v>
      </c>
      <c r="B143" s="46"/>
      <c r="C143" s="46"/>
      <c r="D143" s="49"/>
      <c r="E143" s="49"/>
      <c r="F143" s="48"/>
      <c r="G143" s="48"/>
    </row>
    <row r="144" spans="1:7" x14ac:dyDescent="0.25">
      <c r="A144" s="58">
        <v>113</v>
      </c>
      <c r="B144" s="46"/>
      <c r="C144" s="46"/>
      <c r="D144" s="49"/>
      <c r="E144" s="49"/>
      <c r="F144" s="48"/>
      <c r="G144" s="48"/>
    </row>
    <row r="145" spans="1:7" x14ac:dyDescent="0.25">
      <c r="A145" s="58">
        <v>114</v>
      </c>
      <c r="B145" s="46"/>
      <c r="C145" s="46"/>
      <c r="D145" s="49"/>
      <c r="E145" s="49"/>
      <c r="F145" s="48"/>
      <c r="G145" s="48"/>
    </row>
    <row r="146" spans="1:7" x14ac:dyDescent="0.25">
      <c r="A146" s="58">
        <v>115</v>
      </c>
      <c r="B146" s="46"/>
      <c r="C146" s="46"/>
      <c r="D146" s="49"/>
      <c r="E146" s="49"/>
      <c r="F146" s="48"/>
      <c r="G146" s="48"/>
    </row>
    <row r="147" spans="1:7" x14ac:dyDescent="0.25">
      <c r="A147" s="58">
        <v>116</v>
      </c>
      <c r="B147" s="46"/>
      <c r="C147" s="46"/>
      <c r="D147" s="49"/>
      <c r="E147" s="49"/>
      <c r="F147" s="48"/>
      <c r="G147" s="48"/>
    </row>
    <row r="148" spans="1:7" x14ac:dyDescent="0.25">
      <c r="A148" s="58">
        <v>117</v>
      </c>
      <c r="B148" s="46"/>
      <c r="C148" s="46"/>
      <c r="D148" s="49"/>
      <c r="E148" s="49"/>
      <c r="F148" s="48"/>
      <c r="G148" s="48"/>
    </row>
    <row r="149" spans="1:7" x14ac:dyDescent="0.25">
      <c r="A149" s="58">
        <v>118</v>
      </c>
      <c r="B149" s="46"/>
      <c r="C149" s="46"/>
      <c r="D149" s="49"/>
      <c r="E149" s="49"/>
      <c r="F149" s="48"/>
      <c r="G149" s="48"/>
    </row>
    <row r="150" spans="1:7" x14ac:dyDescent="0.25">
      <c r="A150" s="58">
        <v>119</v>
      </c>
      <c r="B150" s="46"/>
      <c r="C150" s="46"/>
      <c r="D150" s="49"/>
      <c r="E150" s="49"/>
      <c r="F150" s="48"/>
      <c r="G150" s="48"/>
    </row>
    <row r="151" spans="1:7" x14ac:dyDescent="0.25">
      <c r="A151" s="58">
        <v>120</v>
      </c>
      <c r="B151" s="46"/>
      <c r="C151" s="46"/>
      <c r="D151" s="49"/>
      <c r="E151" s="49"/>
      <c r="F151" s="48"/>
      <c r="G151" s="48"/>
    </row>
    <row r="152" spans="1:7" x14ac:dyDescent="0.25">
      <c r="A152" s="58">
        <v>121</v>
      </c>
      <c r="B152" s="46"/>
      <c r="C152" s="46"/>
      <c r="D152" s="49"/>
      <c r="E152" s="49"/>
      <c r="F152" s="48"/>
      <c r="G152" s="48"/>
    </row>
    <row r="153" spans="1:7" x14ac:dyDescent="0.25">
      <c r="A153" s="58">
        <v>122</v>
      </c>
      <c r="B153" s="46"/>
      <c r="C153" s="46"/>
      <c r="D153" s="49"/>
      <c r="E153" s="49"/>
      <c r="F153" s="48"/>
      <c r="G153" s="48"/>
    </row>
    <row r="154" spans="1:7" x14ac:dyDescent="0.25">
      <c r="A154" s="58">
        <v>123</v>
      </c>
      <c r="B154" s="46"/>
      <c r="C154" s="46"/>
      <c r="D154" s="49"/>
      <c r="E154" s="49"/>
      <c r="F154" s="48"/>
      <c r="G154" s="48"/>
    </row>
    <row r="155" spans="1:7" x14ac:dyDescent="0.25">
      <c r="A155" s="58">
        <v>124</v>
      </c>
      <c r="B155" s="46"/>
      <c r="C155" s="46"/>
      <c r="D155" s="49"/>
      <c r="E155" s="49"/>
      <c r="F155" s="48"/>
      <c r="G155" s="48"/>
    </row>
    <row r="156" spans="1:7" x14ac:dyDescent="0.25">
      <c r="A156" s="58">
        <v>125</v>
      </c>
      <c r="B156" s="46"/>
      <c r="C156" s="46"/>
      <c r="D156" s="49"/>
      <c r="E156" s="49"/>
      <c r="F156" s="48"/>
      <c r="G156" s="48"/>
    </row>
    <row r="157" spans="1:7" x14ac:dyDescent="0.25">
      <c r="A157" s="58">
        <v>126</v>
      </c>
      <c r="B157" s="46"/>
      <c r="C157" s="46"/>
      <c r="D157" s="49"/>
      <c r="E157" s="49"/>
      <c r="F157" s="48"/>
      <c r="G157" s="48"/>
    </row>
    <row r="158" spans="1:7" x14ac:dyDescent="0.25">
      <c r="A158" s="58">
        <v>127</v>
      </c>
      <c r="B158" s="46"/>
      <c r="C158" s="46"/>
      <c r="D158" s="49"/>
      <c r="E158" s="49"/>
      <c r="F158" s="48"/>
      <c r="G158" s="48"/>
    </row>
    <row r="159" spans="1:7" x14ac:dyDescent="0.25">
      <c r="A159" s="58">
        <v>128</v>
      </c>
      <c r="B159" s="46"/>
      <c r="C159" s="46"/>
      <c r="D159" s="49"/>
      <c r="E159" s="49"/>
      <c r="F159" s="48"/>
      <c r="G159" s="48"/>
    </row>
    <row r="160" spans="1:7" x14ac:dyDescent="0.25">
      <c r="A160" s="58">
        <v>129</v>
      </c>
      <c r="B160" s="46"/>
      <c r="C160" s="46"/>
      <c r="D160" s="49"/>
      <c r="E160" s="49"/>
      <c r="F160" s="48"/>
      <c r="G160" s="48"/>
    </row>
    <row r="161" spans="1:7" x14ac:dyDescent="0.25">
      <c r="A161" s="58">
        <v>130</v>
      </c>
      <c r="B161" s="46"/>
      <c r="C161" s="46"/>
      <c r="D161" s="49"/>
      <c r="E161" s="49"/>
      <c r="F161" s="48"/>
      <c r="G161" s="48"/>
    </row>
    <row r="162" spans="1:7" x14ac:dyDescent="0.25">
      <c r="A162" s="58">
        <v>131</v>
      </c>
      <c r="B162" s="46"/>
      <c r="C162" s="46"/>
      <c r="D162" s="49"/>
      <c r="E162" s="49"/>
      <c r="F162" s="48"/>
      <c r="G162" s="48"/>
    </row>
    <row r="163" spans="1:7" x14ac:dyDescent="0.25">
      <c r="A163" s="58">
        <v>132</v>
      </c>
      <c r="B163" s="46"/>
      <c r="C163" s="46"/>
      <c r="D163" s="49"/>
      <c r="E163" s="49"/>
      <c r="F163" s="48"/>
      <c r="G163" s="48"/>
    </row>
    <row r="164" spans="1:7" x14ac:dyDescent="0.25">
      <c r="A164" s="58">
        <v>133</v>
      </c>
      <c r="B164" s="46"/>
      <c r="C164" s="46"/>
      <c r="D164" s="49"/>
      <c r="E164" s="49"/>
      <c r="F164" s="48"/>
      <c r="G164" s="48"/>
    </row>
    <row r="165" spans="1:7" x14ac:dyDescent="0.25">
      <c r="A165" s="58">
        <v>134</v>
      </c>
      <c r="B165" s="46"/>
      <c r="C165" s="46"/>
      <c r="D165" s="49"/>
      <c r="E165" s="49"/>
      <c r="F165" s="48"/>
      <c r="G165" s="48"/>
    </row>
    <row r="166" spans="1:7" x14ac:dyDescent="0.25">
      <c r="A166" s="58">
        <v>135</v>
      </c>
      <c r="B166" s="46"/>
      <c r="C166" s="46"/>
      <c r="D166" s="49"/>
      <c r="E166" s="49"/>
      <c r="F166" s="48"/>
      <c r="G166" s="48"/>
    </row>
    <row r="167" spans="1:7" x14ac:dyDescent="0.25">
      <c r="A167" s="58">
        <v>136</v>
      </c>
      <c r="B167" s="46"/>
      <c r="C167" s="46"/>
      <c r="D167" s="49"/>
      <c r="E167" s="49"/>
      <c r="F167" s="48"/>
      <c r="G167" s="48"/>
    </row>
    <row r="168" spans="1:7" x14ac:dyDescent="0.25">
      <c r="A168" s="58">
        <v>137</v>
      </c>
      <c r="B168" s="46"/>
      <c r="C168" s="46"/>
      <c r="D168" s="49"/>
      <c r="E168" s="49"/>
      <c r="F168" s="48"/>
      <c r="G168" s="48"/>
    </row>
    <row r="169" spans="1:7" x14ac:dyDescent="0.25">
      <c r="A169" s="58">
        <v>138</v>
      </c>
      <c r="B169" s="46"/>
      <c r="C169" s="46"/>
      <c r="D169" s="49"/>
      <c r="E169" s="49"/>
      <c r="F169" s="48"/>
      <c r="G169" s="48"/>
    </row>
    <row r="170" spans="1:7" x14ac:dyDescent="0.25">
      <c r="A170" s="58">
        <v>139</v>
      </c>
      <c r="B170" s="46"/>
      <c r="C170" s="46"/>
      <c r="D170" s="49"/>
      <c r="E170" s="49"/>
      <c r="F170" s="48"/>
      <c r="G170" s="48"/>
    </row>
    <row r="171" spans="1:7" x14ac:dyDescent="0.25">
      <c r="A171" s="58">
        <v>140</v>
      </c>
      <c r="B171" s="46"/>
      <c r="C171" s="46"/>
      <c r="D171" s="49"/>
      <c r="E171" s="49"/>
      <c r="F171" s="48"/>
      <c r="G171" s="48"/>
    </row>
    <row r="172" spans="1:7" x14ac:dyDescent="0.25">
      <c r="A172" s="58">
        <v>141</v>
      </c>
      <c r="B172" s="46"/>
      <c r="C172" s="46"/>
      <c r="D172" s="49"/>
      <c r="E172" s="49"/>
      <c r="F172" s="48"/>
      <c r="G172" s="48"/>
    </row>
    <row r="173" spans="1:7" x14ac:dyDescent="0.25">
      <c r="A173" s="58">
        <v>142</v>
      </c>
      <c r="B173" s="46"/>
      <c r="C173" s="46"/>
      <c r="D173" s="49"/>
      <c r="E173" s="49"/>
      <c r="F173" s="48"/>
      <c r="G173" s="48"/>
    </row>
    <row r="174" spans="1:7" x14ac:dyDescent="0.25">
      <c r="A174" s="58">
        <v>143</v>
      </c>
      <c r="B174" s="46"/>
      <c r="C174" s="46"/>
      <c r="D174" s="49"/>
      <c r="E174" s="49"/>
      <c r="F174" s="48"/>
      <c r="G174" s="48"/>
    </row>
    <row r="175" spans="1:7" x14ac:dyDescent="0.25">
      <c r="A175" s="58">
        <v>144</v>
      </c>
      <c r="B175" s="46"/>
      <c r="C175" s="46"/>
      <c r="D175" s="49"/>
      <c r="E175" s="49"/>
      <c r="F175" s="48"/>
      <c r="G175" s="48"/>
    </row>
    <row r="176" spans="1:7" x14ac:dyDescent="0.25">
      <c r="A176" s="58">
        <v>145</v>
      </c>
      <c r="B176" s="46"/>
      <c r="C176" s="46"/>
      <c r="D176" s="49"/>
      <c r="E176" s="49"/>
      <c r="F176" s="48"/>
      <c r="G176" s="48"/>
    </row>
    <row r="177" spans="1:7" x14ac:dyDescent="0.25">
      <c r="A177" s="58">
        <v>146</v>
      </c>
      <c r="B177" s="46"/>
      <c r="C177" s="46"/>
      <c r="D177" s="49"/>
      <c r="E177" s="49"/>
      <c r="F177" s="48"/>
      <c r="G177" s="48"/>
    </row>
    <row r="178" spans="1:7" x14ac:dyDescent="0.25">
      <c r="A178" s="58">
        <v>147</v>
      </c>
      <c r="B178" s="46"/>
      <c r="C178" s="46"/>
      <c r="D178" s="49"/>
      <c r="E178" s="49"/>
      <c r="F178" s="48"/>
      <c r="G178" s="48"/>
    </row>
    <row r="179" spans="1:7" x14ac:dyDescent="0.25">
      <c r="A179" s="58">
        <v>148</v>
      </c>
      <c r="B179" s="46"/>
      <c r="C179" s="46"/>
      <c r="D179" s="49"/>
      <c r="E179" s="49"/>
      <c r="F179" s="48"/>
      <c r="G179" s="48"/>
    </row>
    <row r="180" spans="1:7" x14ac:dyDescent="0.25">
      <c r="A180" s="58">
        <v>149</v>
      </c>
      <c r="B180" s="46"/>
      <c r="C180" s="46"/>
      <c r="D180" s="49"/>
      <c r="E180" s="49"/>
      <c r="F180" s="48"/>
      <c r="G180" s="48"/>
    </row>
    <row r="181" spans="1:7" x14ac:dyDescent="0.25">
      <c r="A181" s="58">
        <v>150</v>
      </c>
      <c r="B181" s="46"/>
      <c r="C181" s="46"/>
      <c r="D181" s="49"/>
      <c r="E181" s="49"/>
      <c r="F181" s="48"/>
      <c r="G181" s="48"/>
    </row>
    <row r="182" spans="1:7" x14ac:dyDescent="0.25">
      <c r="A182" s="58">
        <v>151</v>
      </c>
      <c r="B182" s="46"/>
      <c r="C182" s="46"/>
      <c r="D182" s="49"/>
      <c r="E182" s="49"/>
      <c r="F182" s="48"/>
      <c r="G182" s="48"/>
    </row>
    <row r="183" spans="1:7" x14ac:dyDescent="0.25">
      <c r="A183" s="58">
        <v>152</v>
      </c>
      <c r="B183" s="46"/>
      <c r="C183" s="46"/>
      <c r="D183" s="49"/>
      <c r="E183" s="49"/>
      <c r="F183" s="48"/>
      <c r="G183" s="48"/>
    </row>
    <row r="184" spans="1:7" x14ac:dyDescent="0.25">
      <c r="A184" s="58">
        <v>153</v>
      </c>
      <c r="B184" s="46"/>
      <c r="C184" s="46"/>
      <c r="D184" s="49"/>
      <c r="E184" s="49"/>
      <c r="F184" s="48"/>
      <c r="G184" s="48"/>
    </row>
    <row r="185" spans="1:7" x14ac:dyDescent="0.25">
      <c r="A185" s="58">
        <v>154</v>
      </c>
      <c r="B185" s="46"/>
      <c r="C185" s="46"/>
      <c r="D185" s="49"/>
      <c r="E185" s="49"/>
      <c r="F185" s="48"/>
      <c r="G185" s="48"/>
    </row>
    <row r="186" spans="1:7" x14ac:dyDescent="0.25">
      <c r="A186" s="58">
        <v>155</v>
      </c>
      <c r="B186" s="46"/>
      <c r="C186" s="46"/>
      <c r="D186" s="49"/>
      <c r="E186" s="49"/>
      <c r="F186" s="48"/>
      <c r="G186" s="48"/>
    </row>
    <row r="187" spans="1:7" x14ac:dyDescent="0.25">
      <c r="A187" s="58">
        <v>156</v>
      </c>
      <c r="B187" s="46"/>
      <c r="C187" s="46"/>
      <c r="D187" s="49"/>
      <c r="E187" s="49"/>
      <c r="F187" s="48"/>
      <c r="G187" s="48"/>
    </row>
    <row r="188" spans="1:7" x14ac:dyDescent="0.25">
      <c r="A188" s="58">
        <v>157</v>
      </c>
      <c r="B188" s="46"/>
      <c r="C188" s="46"/>
      <c r="D188" s="49"/>
      <c r="E188" s="49"/>
      <c r="F188" s="48"/>
      <c r="G188" s="48"/>
    </row>
    <row r="189" spans="1:7" x14ac:dyDescent="0.25">
      <c r="A189" s="58">
        <v>158</v>
      </c>
      <c r="B189" s="46"/>
      <c r="C189" s="46"/>
      <c r="D189" s="49"/>
      <c r="E189" s="49"/>
      <c r="F189" s="48"/>
      <c r="G189" s="48"/>
    </row>
    <row r="190" spans="1:7" x14ac:dyDescent="0.25">
      <c r="A190" s="58">
        <v>159</v>
      </c>
      <c r="B190" s="46"/>
      <c r="C190" s="46"/>
      <c r="D190" s="49"/>
      <c r="E190" s="49"/>
      <c r="F190" s="48"/>
      <c r="G190" s="48"/>
    </row>
    <row r="191" spans="1:7" x14ac:dyDescent="0.25">
      <c r="A191" s="58">
        <v>160</v>
      </c>
      <c r="B191" s="46"/>
      <c r="C191" s="46"/>
      <c r="D191" s="49"/>
      <c r="E191" s="49"/>
      <c r="F191" s="48"/>
      <c r="G191" s="48"/>
    </row>
    <row r="192" spans="1:7" x14ac:dyDescent="0.25">
      <c r="A192" s="58">
        <v>161</v>
      </c>
      <c r="B192" s="46"/>
      <c r="C192" s="46"/>
      <c r="D192" s="49"/>
      <c r="E192" s="49"/>
      <c r="F192" s="48"/>
      <c r="G192" s="48"/>
    </row>
    <row r="193" spans="1:7" x14ac:dyDescent="0.25">
      <c r="A193" s="58">
        <v>162</v>
      </c>
      <c r="B193" s="46"/>
      <c r="C193" s="46"/>
      <c r="D193" s="49"/>
      <c r="E193" s="49"/>
      <c r="F193" s="48"/>
      <c r="G193" s="48"/>
    </row>
    <row r="194" spans="1:7" x14ac:dyDescent="0.25">
      <c r="A194" s="58">
        <v>163</v>
      </c>
      <c r="B194" s="46"/>
      <c r="C194" s="46"/>
      <c r="D194" s="49"/>
      <c r="E194" s="49"/>
      <c r="F194" s="48"/>
      <c r="G194" s="48"/>
    </row>
    <row r="195" spans="1:7" x14ac:dyDescent="0.25">
      <c r="A195" s="58">
        <v>164</v>
      </c>
      <c r="B195" s="46"/>
      <c r="C195" s="46"/>
      <c r="D195" s="49"/>
      <c r="E195" s="49"/>
      <c r="F195" s="48"/>
      <c r="G195" s="48"/>
    </row>
    <row r="196" spans="1:7" x14ac:dyDescent="0.25">
      <c r="A196" s="58">
        <v>165</v>
      </c>
      <c r="B196" s="46"/>
      <c r="C196" s="46"/>
      <c r="D196" s="49"/>
      <c r="E196" s="49"/>
      <c r="F196" s="48"/>
      <c r="G196" s="48"/>
    </row>
    <row r="197" spans="1:7" x14ac:dyDescent="0.25">
      <c r="A197" s="58">
        <v>166</v>
      </c>
      <c r="B197" s="46"/>
      <c r="C197" s="46"/>
      <c r="D197" s="49"/>
      <c r="E197" s="49"/>
      <c r="F197" s="48"/>
      <c r="G197" s="48"/>
    </row>
    <row r="198" spans="1:7" x14ac:dyDescent="0.25">
      <c r="A198" s="58">
        <v>167</v>
      </c>
      <c r="B198" s="46"/>
      <c r="C198" s="46"/>
      <c r="D198" s="49"/>
      <c r="E198" s="49"/>
      <c r="F198" s="48"/>
      <c r="G198" s="48"/>
    </row>
    <row r="199" spans="1:7" x14ac:dyDescent="0.25">
      <c r="A199" s="58">
        <v>168</v>
      </c>
      <c r="B199" s="46"/>
      <c r="C199" s="46"/>
      <c r="D199" s="49"/>
      <c r="E199" s="49"/>
      <c r="F199" s="48"/>
      <c r="G199" s="48"/>
    </row>
    <row r="200" spans="1:7" x14ac:dyDescent="0.25">
      <c r="A200" s="58">
        <v>169</v>
      </c>
      <c r="B200" s="46"/>
      <c r="C200" s="46"/>
      <c r="D200" s="49"/>
      <c r="E200" s="49"/>
      <c r="F200" s="48"/>
      <c r="G200" s="48"/>
    </row>
    <row r="201" spans="1:7" x14ac:dyDescent="0.25">
      <c r="A201" s="58">
        <v>170</v>
      </c>
      <c r="B201" s="46"/>
      <c r="C201" s="46"/>
      <c r="D201" s="49"/>
      <c r="E201" s="49"/>
      <c r="F201" s="48"/>
      <c r="G201" s="48"/>
    </row>
    <row r="202" spans="1:7" x14ac:dyDescent="0.25">
      <c r="A202" s="58">
        <v>171</v>
      </c>
      <c r="B202" s="46"/>
      <c r="C202" s="46"/>
      <c r="D202" s="49"/>
      <c r="E202" s="49"/>
      <c r="F202" s="48"/>
      <c r="G202" s="48"/>
    </row>
    <row r="203" spans="1:7" x14ac:dyDescent="0.25">
      <c r="A203" s="58">
        <v>172</v>
      </c>
      <c r="B203" s="46"/>
      <c r="C203" s="46"/>
      <c r="D203" s="49"/>
      <c r="E203" s="49"/>
      <c r="F203" s="48"/>
      <c r="G203" s="48"/>
    </row>
    <row r="204" spans="1:7" x14ac:dyDescent="0.25">
      <c r="A204" s="58">
        <v>173</v>
      </c>
      <c r="B204" s="46"/>
      <c r="C204" s="46"/>
      <c r="D204" s="49"/>
      <c r="E204" s="49"/>
      <c r="F204" s="48"/>
      <c r="G204" s="48"/>
    </row>
    <row r="205" spans="1:7" x14ac:dyDescent="0.25">
      <c r="A205" s="58">
        <v>174</v>
      </c>
      <c r="B205" s="46"/>
      <c r="C205" s="46"/>
      <c r="D205" s="49"/>
      <c r="E205" s="49"/>
      <c r="F205" s="48"/>
      <c r="G205" s="48"/>
    </row>
    <row r="206" spans="1:7" x14ac:dyDescent="0.25">
      <c r="A206" s="58">
        <v>175</v>
      </c>
      <c r="B206" s="46"/>
      <c r="C206" s="46"/>
      <c r="D206" s="49"/>
      <c r="E206" s="49"/>
      <c r="F206" s="48"/>
      <c r="G206" s="48"/>
    </row>
    <row r="207" spans="1:7" x14ac:dyDescent="0.25">
      <c r="A207" s="58">
        <v>176</v>
      </c>
      <c r="B207" s="46"/>
      <c r="C207" s="46"/>
      <c r="D207" s="49"/>
      <c r="E207" s="49"/>
      <c r="F207" s="48"/>
      <c r="G207" s="48"/>
    </row>
    <row r="208" spans="1:7" x14ac:dyDescent="0.25">
      <c r="A208" s="58">
        <v>177</v>
      </c>
      <c r="B208" s="46"/>
      <c r="C208" s="46"/>
      <c r="D208" s="49"/>
      <c r="E208" s="49"/>
      <c r="F208" s="48"/>
      <c r="G208" s="48"/>
    </row>
    <row r="209" spans="1:7" x14ac:dyDescent="0.25">
      <c r="A209" s="58">
        <v>178</v>
      </c>
      <c r="B209" s="46"/>
      <c r="C209" s="46"/>
      <c r="D209" s="49"/>
      <c r="E209" s="49"/>
      <c r="F209" s="48"/>
      <c r="G209" s="48"/>
    </row>
    <row r="210" spans="1:7" x14ac:dyDescent="0.25">
      <c r="A210" s="58">
        <v>179</v>
      </c>
      <c r="B210" s="46"/>
      <c r="C210" s="46"/>
      <c r="D210" s="49"/>
      <c r="E210" s="49"/>
      <c r="F210" s="48"/>
      <c r="G210" s="48"/>
    </row>
    <row r="211" spans="1:7" x14ac:dyDescent="0.25">
      <c r="A211" s="58">
        <v>180</v>
      </c>
      <c r="B211" s="46"/>
      <c r="C211" s="46"/>
      <c r="D211" s="49"/>
      <c r="E211" s="49"/>
      <c r="F211" s="48"/>
      <c r="G211" s="48"/>
    </row>
    <row r="212" spans="1:7" x14ac:dyDescent="0.25">
      <c r="A212" s="58">
        <v>181</v>
      </c>
      <c r="B212" s="46"/>
      <c r="C212" s="46"/>
      <c r="D212" s="49"/>
      <c r="E212" s="49"/>
      <c r="F212" s="48"/>
      <c r="G212" s="48"/>
    </row>
    <row r="213" spans="1:7" x14ac:dyDescent="0.25">
      <c r="A213" s="58">
        <v>182</v>
      </c>
      <c r="B213" s="46"/>
      <c r="C213" s="46"/>
      <c r="D213" s="49"/>
      <c r="E213" s="49"/>
      <c r="F213" s="48"/>
      <c r="G213" s="48"/>
    </row>
    <row r="214" spans="1:7" x14ac:dyDescent="0.25">
      <c r="A214" s="58">
        <v>183</v>
      </c>
      <c r="B214" s="46"/>
      <c r="C214" s="46"/>
      <c r="D214" s="49"/>
      <c r="E214" s="49"/>
      <c r="F214" s="48"/>
      <c r="G214" s="48"/>
    </row>
    <row r="215" spans="1:7" x14ac:dyDescent="0.25">
      <c r="A215" s="58">
        <v>184</v>
      </c>
      <c r="B215" s="46"/>
      <c r="C215" s="46"/>
      <c r="D215" s="49"/>
      <c r="E215" s="49"/>
      <c r="F215" s="48"/>
      <c r="G215" s="48"/>
    </row>
    <row r="216" spans="1:7" x14ac:dyDescent="0.25">
      <c r="A216" s="58">
        <v>185</v>
      </c>
      <c r="B216" s="46"/>
      <c r="C216" s="46"/>
      <c r="D216" s="49"/>
      <c r="E216" s="49"/>
      <c r="F216" s="48"/>
      <c r="G216" s="48"/>
    </row>
    <row r="217" spans="1:7" x14ac:dyDescent="0.25">
      <c r="A217" s="58">
        <v>186</v>
      </c>
      <c r="B217" s="46"/>
      <c r="C217" s="46"/>
      <c r="D217" s="49"/>
      <c r="E217" s="49"/>
      <c r="F217" s="48"/>
      <c r="G217" s="48"/>
    </row>
    <row r="218" spans="1:7" x14ac:dyDescent="0.25">
      <c r="A218" s="58">
        <v>187</v>
      </c>
      <c r="B218" s="46"/>
      <c r="C218" s="46"/>
      <c r="D218" s="49"/>
      <c r="E218" s="49"/>
      <c r="F218" s="48"/>
      <c r="G218" s="48"/>
    </row>
    <row r="219" spans="1:7" x14ac:dyDescent="0.25">
      <c r="A219" s="58">
        <v>188</v>
      </c>
      <c r="B219" s="46"/>
      <c r="C219" s="46"/>
      <c r="D219" s="49"/>
      <c r="E219" s="49"/>
      <c r="F219" s="48"/>
      <c r="G219" s="48"/>
    </row>
    <row r="220" spans="1:7" x14ac:dyDescent="0.25">
      <c r="A220" s="58">
        <v>189</v>
      </c>
      <c r="B220" s="46"/>
      <c r="C220" s="46"/>
      <c r="D220" s="49"/>
      <c r="E220" s="49"/>
      <c r="F220" s="48"/>
      <c r="G220" s="48"/>
    </row>
    <row r="221" spans="1:7" x14ac:dyDescent="0.25">
      <c r="A221" s="58">
        <v>190</v>
      </c>
      <c r="B221" s="46"/>
      <c r="C221" s="46"/>
      <c r="D221" s="49"/>
      <c r="E221" s="49"/>
      <c r="F221" s="48"/>
      <c r="G221" s="48"/>
    </row>
    <row r="222" spans="1:7" x14ac:dyDescent="0.25">
      <c r="A222" s="58">
        <v>191</v>
      </c>
      <c r="B222" s="46"/>
      <c r="C222" s="46"/>
      <c r="D222" s="49"/>
      <c r="E222" s="49"/>
      <c r="F222" s="48"/>
      <c r="G222" s="48"/>
    </row>
    <row r="223" spans="1:7" x14ac:dyDescent="0.25">
      <c r="A223" s="58">
        <v>192</v>
      </c>
      <c r="B223" s="46"/>
      <c r="C223" s="46"/>
      <c r="D223" s="49"/>
      <c r="E223" s="49"/>
      <c r="F223" s="48"/>
      <c r="G223" s="48"/>
    </row>
    <row r="224" spans="1:7" x14ac:dyDescent="0.25">
      <c r="A224" s="58">
        <v>193</v>
      </c>
      <c r="B224" s="46"/>
      <c r="C224" s="46"/>
      <c r="D224" s="49"/>
      <c r="E224" s="49"/>
      <c r="F224" s="48"/>
      <c r="G224" s="48"/>
    </row>
    <row r="225" spans="1:7" x14ac:dyDescent="0.25">
      <c r="A225" s="58">
        <v>194</v>
      </c>
      <c r="B225" s="46"/>
      <c r="C225" s="46"/>
      <c r="D225" s="49"/>
      <c r="E225" s="49"/>
      <c r="F225" s="48"/>
      <c r="G225" s="48"/>
    </row>
    <row r="226" spans="1:7" x14ac:dyDescent="0.25">
      <c r="A226" s="58">
        <v>195</v>
      </c>
      <c r="B226" s="46"/>
      <c r="C226" s="46"/>
      <c r="D226" s="49"/>
      <c r="E226" s="49"/>
      <c r="F226" s="48"/>
      <c r="G226" s="48"/>
    </row>
    <row r="227" spans="1:7" x14ac:dyDescent="0.25">
      <c r="A227" s="58">
        <v>196</v>
      </c>
      <c r="B227" s="46"/>
      <c r="C227" s="46"/>
      <c r="D227" s="49"/>
      <c r="E227" s="49"/>
      <c r="F227" s="48"/>
      <c r="G227" s="48"/>
    </row>
    <row r="228" spans="1:7" x14ac:dyDescent="0.25">
      <c r="A228" s="58">
        <v>197</v>
      </c>
      <c r="B228" s="46"/>
      <c r="C228" s="46"/>
      <c r="D228" s="49"/>
      <c r="E228" s="49"/>
      <c r="F228" s="48"/>
      <c r="G228" s="48"/>
    </row>
    <row r="229" spans="1:7" x14ac:dyDescent="0.25">
      <c r="A229" s="58">
        <v>198</v>
      </c>
      <c r="B229" s="46"/>
      <c r="C229" s="46"/>
      <c r="D229" s="49"/>
      <c r="E229" s="49"/>
      <c r="F229" s="48"/>
      <c r="G229" s="48"/>
    </row>
    <row r="230" spans="1:7" x14ac:dyDescent="0.25">
      <c r="A230" s="58">
        <v>199</v>
      </c>
      <c r="B230" s="46"/>
      <c r="C230" s="46"/>
      <c r="D230" s="49"/>
      <c r="E230" s="49"/>
      <c r="F230" s="48"/>
      <c r="G230" s="48"/>
    </row>
    <row r="231" spans="1:7" x14ac:dyDescent="0.25">
      <c r="A231" s="58">
        <v>200</v>
      </c>
      <c r="B231" s="46"/>
      <c r="C231" s="46"/>
      <c r="D231" s="49"/>
      <c r="E231" s="49"/>
      <c r="F231" s="48"/>
      <c r="G231" s="48"/>
    </row>
  </sheetData>
  <sortState xmlns:xlrd2="http://schemas.microsoft.com/office/spreadsheetml/2017/richdata2" ref="K38:K48">
    <sortCondition ref="K38"/>
  </sortState>
  <mergeCells count="3">
    <mergeCell ref="A30:G30"/>
    <mergeCell ref="J36:L36"/>
    <mergeCell ref="A9:B9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Q28"/>
  <sheetViews>
    <sheetView zoomScale="115" zoomScaleNormal="115" workbookViewId="0">
      <selection activeCell="F24" sqref="F24"/>
    </sheetView>
  </sheetViews>
  <sheetFormatPr defaultColWidth="4" defaultRowHeight="15" x14ac:dyDescent="0.25"/>
  <cols>
    <col min="1" max="1" width="16.28515625" customWidth="1"/>
    <col min="2" max="2" width="17" bestFit="1" customWidth="1"/>
    <col min="3" max="3" width="17.28515625" bestFit="1" customWidth="1"/>
    <col min="4" max="4" width="14.7109375" bestFit="1" customWidth="1"/>
    <col min="5" max="5" width="18" bestFit="1" customWidth="1"/>
    <col min="6" max="6" width="11.5703125" bestFit="1" customWidth="1"/>
    <col min="7" max="8" width="19.7109375" bestFit="1" customWidth="1"/>
    <col min="9" max="9" width="24" bestFit="1" customWidth="1"/>
    <col min="10" max="10" width="13.85546875" bestFit="1" customWidth="1"/>
  </cols>
  <sheetData>
    <row r="1" spans="1:17" ht="18.75" x14ac:dyDescent="0.3">
      <c r="A1" s="6" t="s">
        <v>82</v>
      </c>
      <c r="B1" s="8"/>
      <c r="C1" s="8"/>
      <c r="D1" s="8"/>
      <c r="E1" s="8"/>
      <c r="F1" s="8"/>
      <c r="G1" s="9"/>
      <c r="H1" s="9"/>
      <c r="I1" s="9"/>
      <c r="J1" s="9"/>
      <c r="K1" s="9"/>
      <c r="L1" s="9"/>
      <c r="M1" s="9"/>
      <c r="N1" s="9"/>
      <c r="O1" s="9"/>
      <c r="P1" s="9"/>
      <c r="Q1" s="9"/>
    </row>
    <row r="2" spans="1:17" x14ac:dyDescent="0.25">
      <c r="A2" s="10" t="s">
        <v>116</v>
      </c>
      <c r="B2" s="11"/>
      <c r="C2" s="11"/>
      <c r="D2" s="11"/>
      <c r="E2" s="11"/>
      <c r="F2" s="11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</row>
    <row r="3" spans="1:17" x14ac:dyDescent="0.25">
      <c r="A3" s="10" t="s">
        <v>117</v>
      </c>
      <c r="B3" s="11"/>
      <c r="C3" s="11"/>
      <c r="D3" s="11"/>
      <c r="E3" s="11"/>
      <c r="F3" s="11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</row>
    <row r="4" spans="1:17" x14ac:dyDescent="0.25">
      <c r="A4" s="13" t="s">
        <v>118</v>
      </c>
      <c r="B4" s="14"/>
      <c r="C4" s="14"/>
      <c r="D4" s="14"/>
      <c r="E4" s="14"/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</row>
    <row r="5" spans="1:17" x14ac:dyDescent="0.25"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</row>
    <row r="6" spans="1:17" x14ac:dyDescent="0.25">
      <c r="A6" s="17" t="s">
        <v>119</v>
      </c>
      <c r="B6" s="18"/>
      <c r="C6" s="18"/>
      <c r="D6" s="18"/>
      <c r="E6" s="18"/>
      <c r="F6" s="18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</row>
    <row r="7" spans="1:17" x14ac:dyDescent="0.25">
      <c r="A7" s="20" t="s">
        <v>121</v>
      </c>
      <c r="B7" s="18"/>
      <c r="C7" s="18"/>
      <c r="D7" s="18"/>
      <c r="E7" s="18"/>
      <c r="F7" s="18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</row>
    <row r="8" spans="1:17" x14ac:dyDescent="0.25">
      <c r="A8" s="20" t="s">
        <v>122</v>
      </c>
      <c r="B8" s="18"/>
      <c r="C8" s="18"/>
      <c r="D8" s="18"/>
      <c r="E8" s="18"/>
      <c r="F8" s="18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</row>
    <row r="9" spans="1:17" x14ac:dyDescent="0.25">
      <c r="A9" s="20" t="s">
        <v>123</v>
      </c>
      <c r="B9" s="18"/>
      <c r="C9" s="18"/>
      <c r="D9" s="18"/>
      <c r="E9" s="18"/>
      <c r="F9" s="18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</row>
    <row r="11" spans="1:17" ht="18.75" x14ac:dyDescent="0.3">
      <c r="A11" s="60" t="s">
        <v>84</v>
      </c>
      <c r="B11" s="61"/>
      <c r="C11" s="61"/>
      <c r="D11" s="61"/>
      <c r="E11" s="61"/>
      <c r="F11" s="61"/>
      <c r="G11" s="61"/>
      <c r="H11" s="61"/>
      <c r="I11" s="61"/>
      <c r="J11" s="61"/>
    </row>
    <row r="12" spans="1:17" x14ac:dyDescent="0.25">
      <c r="A12" s="27" t="s">
        <v>85</v>
      </c>
      <c r="B12" s="27" t="s">
        <v>86</v>
      </c>
      <c r="C12" s="27" t="s">
        <v>87</v>
      </c>
      <c r="D12" s="27" t="s">
        <v>88</v>
      </c>
      <c r="E12" s="27" t="s">
        <v>89</v>
      </c>
      <c r="F12" s="27" t="s">
        <v>90</v>
      </c>
      <c r="G12" s="27" t="s">
        <v>110</v>
      </c>
      <c r="H12" s="27" t="s">
        <v>91</v>
      </c>
      <c r="I12" s="27" t="s">
        <v>109</v>
      </c>
      <c r="J12" s="27" t="s">
        <v>92</v>
      </c>
    </row>
    <row r="13" spans="1:17" x14ac:dyDescent="0.25">
      <c r="A13" s="28" t="s">
        <v>93</v>
      </c>
      <c r="B13" s="30">
        <v>15</v>
      </c>
      <c r="C13" s="30">
        <v>22</v>
      </c>
      <c r="D13" s="62">
        <v>6</v>
      </c>
      <c r="E13" s="23">
        <f>Current_Inventory +Order_Quantity</f>
        <v>21</v>
      </c>
      <c r="F13" s="23">
        <f xml:space="preserve"> MIN(_xlfn.SINGLE(Updated_Inventory),_xlfn.SINGLE(Expected_Demand))</f>
        <v>21</v>
      </c>
      <c r="G13" s="23">
        <f>Expected_Demand-Actual_Sales</f>
        <v>1</v>
      </c>
      <c r="H13" s="29">
        <v>7.31</v>
      </c>
      <c r="I13" s="29">
        <v>2.9233212050722779</v>
      </c>
      <c r="J13" s="29">
        <v>13.135279504855134</v>
      </c>
    </row>
    <row r="14" spans="1:17" x14ac:dyDescent="0.25">
      <c r="A14" s="28" t="s">
        <v>94</v>
      </c>
      <c r="B14" s="30">
        <v>9</v>
      </c>
      <c r="C14" s="30">
        <v>17</v>
      </c>
      <c r="D14" s="62">
        <v>8</v>
      </c>
      <c r="E14" s="23">
        <f>Current_Inventory +Order_Quantity</f>
        <v>17</v>
      </c>
      <c r="F14" s="23">
        <f xml:space="preserve"> MIN(_xlfn.SINGLE(Updated_Inventory),_xlfn.SINGLE(Expected_Demand))</f>
        <v>17</v>
      </c>
      <c r="G14" s="23">
        <f>Expected_Demand-Actual_Sales</f>
        <v>0</v>
      </c>
      <c r="H14" s="29">
        <v>6.67</v>
      </c>
      <c r="I14" s="29">
        <v>3.3633533400544113</v>
      </c>
      <c r="J14" s="29">
        <v>12.765708637454392</v>
      </c>
    </row>
    <row r="15" spans="1:17" x14ac:dyDescent="0.25">
      <c r="A15" s="28" t="s">
        <v>95</v>
      </c>
      <c r="B15" s="30">
        <v>13</v>
      </c>
      <c r="C15" s="30">
        <v>10</v>
      </c>
      <c r="D15" s="62">
        <v>0</v>
      </c>
      <c r="E15" s="23">
        <f>Current_Inventory +Order_Quantity</f>
        <v>13</v>
      </c>
      <c r="F15" s="23">
        <f xml:space="preserve"> MIN(_xlfn.SINGLE(Updated_Inventory),_xlfn.SINGLE(Expected_Demand))</f>
        <v>10</v>
      </c>
      <c r="G15" s="23">
        <f>Expected_Demand-Actual_Sales</f>
        <v>0</v>
      </c>
      <c r="H15" s="29">
        <v>5.84</v>
      </c>
      <c r="I15" s="29">
        <v>2.5269157815241625</v>
      </c>
      <c r="J15" s="29">
        <v>9.9048426493160715</v>
      </c>
    </row>
    <row r="16" spans="1:17" x14ac:dyDescent="0.25">
      <c r="A16" s="28" t="s">
        <v>96</v>
      </c>
      <c r="B16" s="30">
        <v>26</v>
      </c>
      <c r="C16" s="30">
        <v>33</v>
      </c>
      <c r="D16" s="62">
        <v>7</v>
      </c>
      <c r="E16" s="23">
        <f>Current_Inventory +Order_Quantity</f>
        <v>33</v>
      </c>
      <c r="F16" s="23">
        <f xml:space="preserve"> MIN(_xlfn.SINGLE(Updated_Inventory),_xlfn.SINGLE(Expected_Demand))</f>
        <v>33</v>
      </c>
      <c r="G16" s="23">
        <f>Expected_Demand-Actual_Sales</f>
        <v>0</v>
      </c>
      <c r="H16" s="29">
        <v>6.85</v>
      </c>
      <c r="I16" s="29">
        <v>2.5283878811712377</v>
      </c>
      <c r="J16" s="29">
        <v>12.891858197169444</v>
      </c>
    </row>
    <row r="17" spans="1:10" x14ac:dyDescent="0.25">
      <c r="A17" s="28" t="s">
        <v>97</v>
      </c>
      <c r="B17" s="30">
        <v>30</v>
      </c>
      <c r="C17" s="30">
        <v>38</v>
      </c>
      <c r="D17" s="62">
        <v>8</v>
      </c>
      <c r="E17" s="23">
        <f>Current_Inventory +Order_Quantity</f>
        <v>38</v>
      </c>
      <c r="F17" s="23">
        <f xml:space="preserve"> MIN(_xlfn.SINGLE(Updated_Inventory),_xlfn.SINGLE(Expected_Demand))</f>
        <v>38</v>
      </c>
      <c r="G17" s="23">
        <f>Expected_Demand-Actual_Sales</f>
        <v>0</v>
      </c>
      <c r="H17" s="29">
        <v>7.13</v>
      </c>
      <c r="I17" s="29">
        <v>2.4362959627525447</v>
      </c>
      <c r="J17" s="29">
        <v>11.180024937926875</v>
      </c>
    </row>
    <row r="19" spans="1:10" x14ac:dyDescent="0.25">
      <c r="A19" s="47" t="s">
        <v>98</v>
      </c>
      <c r="H19" s="63" t="s">
        <v>99</v>
      </c>
      <c r="I19" s="63" t="s">
        <v>111</v>
      </c>
      <c r="J19" s="27" t="s">
        <v>100</v>
      </c>
    </row>
    <row r="20" spans="1:10" x14ac:dyDescent="0.25">
      <c r="A20" s="47" t="s">
        <v>101</v>
      </c>
      <c r="H20">
        <f>SUMPRODUCT(Order_Quantity, Order_Cost)</f>
        <v>202.20999999999998</v>
      </c>
      <c r="I20" s="66">
        <f>SUMPRODUCT(Lost_Sales, Lost_Sales_Cost)</f>
        <v>2.9233212050722779</v>
      </c>
      <c r="J20" s="24">
        <f>SUMPRODUCT(Actual_Sales, Sales_Price)</f>
        <v>1442.1786110796561</v>
      </c>
    </row>
    <row r="21" spans="1:10" x14ac:dyDescent="0.25">
      <c r="A21" s="47" t="s">
        <v>102</v>
      </c>
    </row>
    <row r="22" spans="1:10" x14ac:dyDescent="0.25">
      <c r="A22" s="47" t="s">
        <v>103</v>
      </c>
      <c r="H22" s="27" t="s">
        <v>104</v>
      </c>
      <c r="I22" s="63" t="s">
        <v>105</v>
      </c>
      <c r="J22" s="27" t="s">
        <v>106</v>
      </c>
    </row>
    <row r="23" spans="1:10" x14ac:dyDescent="0.25">
      <c r="A23" s="47" t="s">
        <v>112</v>
      </c>
      <c r="H23" s="24">
        <f>SUM(Total_Order, Total_Lost_Sales)</f>
        <v>205.13332120507226</v>
      </c>
      <c r="I23" s="29">
        <v>500</v>
      </c>
      <c r="J23" s="64">
        <f>Total_Revenue-Total_Costs</f>
        <v>1237.0452898745839</v>
      </c>
    </row>
    <row r="24" spans="1:10" x14ac:dyDescent="0.25">
      <c r="A24" s="47" t="s">
        <v>107</v>
      </c>
    </row>
    <row r="25" spans="1:10" x14ac:dyDescent="0.25">
      <c r="A25" s="47" t="s">
        <v>108</v>
      </c>
    </row>
    <row r="26" spans="1:10" x14ac:dyDescent="0.25">
      <c r="A26" s="47" t="s">
        <v>156</v>
      </c>
      <c r="H26" s="27" t="s">
        <v>113</v>
      </c>
      <c r="I26" s="28" t="s">
        <v>114</v>
      </c>
      <c r="J26" s="28" t="s">
        <v>115</v>
      </c>
    </row>
    <row r="27" spans="1:10" x14ac:dyDescent="0.25">
      <c r="H27" s="27" t="s">
        <v>120</v>
      </c>
      <c r="I27" s="67">
        <v>7.5807473445724876</v>
      </c>
      <c r="J27" s="67">
        <v>1238.2131432399387</v>
      </c>
    </row>
    <row r="28" spans="1:10" x14ac:dyDescent="0.25">
      <c r="A28" s="94" t="s">
        <v>269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Q38"/>
  <sheetViews>
    <sheetView zoomScale="115" zoomScaleNormal="115" workbookViewId="0">
      <selection activeCell="D27" sqref="D27"/>
    </sheetView>
  </sheetViews>
  <sheetFormatPr defaultColWidth="4.5703125" defaultRowHeight="15" x14ac:dyDescent="0.25"/>
  <cols>
    <col min="1" max="1" width="16.28515625" bestFit="1" customWidth="1"/>
    <col min="2" max="2" width="13.7109375" bestFit="1" customWidth="1"/>
    <col min="3" max="3" width="16.5703125" bestFit="1" customWidth="1"/>
    <col min="4" max="4" width="15.140625" bestFit="1" customWidth="1"/>
    <col min="5" max="5" width="11.85546875" bestFit="1" customWidth="1"/>
    <col min="6" max="6" width="16.85546875" bestFit="1" customWidth="1"/>
    <col min="7" max="7" width="13.42578125" bestFit="1" customWidth="1"/>
  </cols>
  <sheetData>
    <row r="1" spans="1:17" ht="18.75" x14ac:dyDescent="0.3">
      <c r="A1" s="6" t="s">
        <v>83</v>
      </c>
      <c r="B1" s="8"/>
      <c r="C1" s="8"/>
      <c r="D1" s="8"/>
      <c r="E1" s="8"/>
      <c r="F1" s="8"/>
      <c r="G1" s="9"/>
      <c r="H1" s="9"/>
      <c r="I1" s="9"/>
      <c r="J1" s="9"/>
      <c r="K1" s="9"/>
      <c r="L1" s="9"/>
      <c r="M1" s="9"/>
      <c r="N1" s="9"/>
      <c r="O1" s="9"/>
      <c r="P1" s="9"/>
      <c r="Q1" s="9"/>
    </row>
    <row r="2" spans="1:17" x14ac:dyDescent="0.25">
      <c r="A2" s="10" t="s">
        <v>146</v>
      </c>
      <c r="B2" s="11"/>
      <c r="C2" s="11"/>
      <c r="D2" s="11"/>
      <c r="E2" s="11"/>
      <c r="F2" s="11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</row>
    <row r="3" spans="1:17" x14ac:dyDescent="0.25">
      <c r="A3" s="10" t="s">
        <v>147</v>
      </c>
      <c r="B3" s="11"/>
      <c r="C3" s="11"/>
      <c r="D3" s="11"/>
      <c r="E3" s="11"/>
      <c r="F3" s="11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</row>
    <row r="4" spans="1:17" x14ac:dyDescent="0.25">
      <c r="A4" s="13" t="s">
        <v>118</v>
      </c>
      <c r="B4" s="14"/>
      <c r="C4" s="14"/>
      <c r="D4" s="14"/>
      <c r="E4" s="14"/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</row>
    <row r="5" spans="1:17" x14ac:dyDescent="0.25"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</row>
    <row r="6" spans="1:17" x14ac:dyDescent="0.25">
      <c r="A6" s="17" t="s">
        <v>119</v>
      </c>
      <c r="B6" s="18"/>
      <c r="C6" s="18"/>
      <c r="D6" s="18"/>
      <c r="E6" s="18"/>
      <c r="F6" s="18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</row>
    <row r="7" spans="1:17" x14ac:dyDescent="0.25">
      <c r="A7" s="20" t="s">
        <v>148</v>
      </c>
      <c r="B7" s="18"/>
      <c r="C7" s="18"/>
      <c r="D7" s="18"/>
      <c r="E7" s="18"/>
      <c r="F7" s="18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</row>
    <row r="8" spans="1:17" x14ac:dyDescent="0.25">
      <c r="A8" s="20" t="s">
        <v>122</v>
      </c>
      <c r="B8" s="18"/>
      <c r="C8" s="18"/>
      <c r="D8" s="18"/>
      <c r="E8" s="18"/>
      <c r="F8" s="18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</row>
    <row r="9" spans="1:17" x14ac:dyDescent="0.25">
      <c r="A9" s="20" t="s">
        <v>123</v>
      </c>
      <c r="B9" s="18"/>
      <c r="C9" s="18"/>
      <c r="D9" s="18"/>
      <c r="E9" s="18"/>
      <c r="F9" s="18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</row>
    <row r="11" spans="1:17" ht="18.75" x14ac:dyDescent="0.3">
      <c r="A11" s="60" t="s">
        <v>124</v>
      </c>
      <c r="B11" s="61"/>
      <c r="C11" s="61"/>
      <c r="D11" s="61"/>
      <c r="E11" s="61"/>
      <c r="F11" s="61"/>
    </row>
    <row r="12" spans="1:17" x14ac:dyDescent="0.25">
      <c r="A12" s="27" t="s">
        <v>125</v>
      </c>
      <c r="B12" s="27" t="s">
        <v>126</v>
      </c>
      <c r="C12" s="27" t="s">
        <v>127</v>
      </c>
      <c r="D12" s="27" t="s">
        <v>128</v>
      </c>
      <c r="E12" s="27" t="s">
        <v>129</v>
      </c>
      <c r="F12" s="27" t="s">
        <v>130</v>
      </c>
    </row>
    <row r="13" spans="1:17" x14ac:dyDescent="0.25">
      <c r="A13" s="28" t="s">
        <v>131</v>
      </c>
      <c r="B13" s="62">
        <v>1</v>
      </c>
      <c r="C13" s="65">
        <v>5000</v>
      </c>
      <c r="D13" s="24">
        <f>Selected*Allocation</f>
        <v>5000</v>
      </c>
      <c r="E13" s="68">
        <v>0.76336134901735619</v>
      </c>
      <c r="F13" s="69">
        <v>0.5734737392163366</v>
      </c>
    </row>
    <row r="14" spans="1:17" x14ac:dyDescent="0.25">
      <c r="A14" s="28" t="s">
        <v>132</v>
      </c>
      <c r="B14" s="62">
        <v>1</v>
      </c>
      <c r="C14" s="65">
        <v>5000</v>
      </c>
      <c r="D14" s="24">
        <f>Selected*Allocation</f>
        <v>5000</v>
      </c>
      <c r="E14" s="68">
        <v>0.80467359810974259</v>
      </c>
      <c r="F14" s="69">
        <v>0.32691442123338293</v>
      </c>
    </row>
    <row r="15" spans="1:17" x14ac:dyDescent="0.25">
      <c r="A15" s="28" t="s">
        <v>133</v>
      </c>
      <c r="B15" s="62">
        <v>1</v>
      </c>
      <c r="C15" s="65">
        <v>5000</v>
      </c>
      <c r="D15" s="24">
        <f>Selected*Allocation</f>
        <v>5000</v>
      </c>
      <c r="E15" s="68">
        <v>0.34249197009020893</v>
      </c>
      <c r="F15" s="69">
        <v>0.12084909084595558</v>
      </c>
    </row>
    <row r="16" spans="1:17" x14ac:dyDescent="0.25">
      <c r="A16" s="28" t="s">
        <v>134</v>
      </c>
      <c r="B16" s="62">
        <v>0</v>
      </c>
      <c r="C16" s="65">
        <v>5000</v>
      </c>
      <c r="D16" s="24">
        <f>Selected*Allocation</f>
        <v>0</v>
      </c>
      <c r="E16" s="68">
        <v>0.3853864346404724</v>
      </c>
      <c r="F16" s="69">
        <v>0.3529662340504226</v>
      </c>
    </row>
    <row r="17" spans="1:6" x14ac:dyDescent="0.25">
      <c r="A17" s="28" t="s">
        <v>135</v>
      </c>
      <c r="B17" s="62">
        <v>1</v>
      </c>
      <c r="C17" s="65">
        <v>5000</v>
      </c>
      <c r="D17" s="24">
        <f>Selected*Allocation</f>
        <v>5000</v>
      </c>
      <c r="E17" s="68">
        <v>0.54467695586716058</v>
      </c>
      <c r="F17" s="69">
        <v>0.3961787304997621</v>
      </c>
    </row>
    <row r="18" spans="1:6" x14ac:dyDescent="0.25">
      <c r="C18" s="1"/>
      <c r="D18" s="1"/>
    </row>
    <row r="19" spans="1:6" x14ac:dyDescent="0.25">
      <c r="B19" s="27" t="s">
        <v>136</v>
      </c>
      <c r="C19" s="27" t="s">
        <v>137</v>
      </c>
      <c r="D19" s="27" t="s">
        <v>138</v>
      </c>
      <c r="F19" s="70" t="s">
        <v>142</v>
      </c>
    </row>
    <row r="20" spans="1:6" x14ac:dyDescent="0.25">
      <c r="B20" s="23">
        <f>SUM(Selected)</f>
        <v>4</v>
      </c>
      <c r="C20" s="29">
        <v>5000</v>
      </c>
      <c r="D20" s="24">
        <f>SUM(Investment)</f>
        <v>20000</v>
      </c>
      <c r="F20" s="64">
        <f>SUMPRODUCT( Return_Rate, Investment)</f>
        <v>12276.01936542234</v>
      </c>
    </row>
    <row r="21" spans="1:6" x14ac:dyDescent="0.25">
      <c r="B21" s="27" t="s">
        <v>140</v>
      </c>
      <c r="C21" s="27" t="s">
        <v>141</v>
      </c>
      <c r="D21" s="27" t="s">
        <v>105</v>
      </c>
      <c r="F21" s="70" t="s">
        <v>143</v>
      </c>
    </row>
    <row r="22" spans="1:6" x14ac:dyDescent="0.25">
      <c r="B22" s="30">
        <v>3</v>
      </c>
      <c r="C22" s="29">
        <v>10000</v>
      </c>
      <c r="D22" s="29">
        <v>20000</v>
      </c>
      <c r="F22" s="64">
        <f>SUMPRODUCT(Risk_Rate, Investment)</f>
        <v>7087.0799089771863</v>
      </c>
    </row>
    <row r="23" spans="1:6" x14ac:dyDescent="0.25">
      <c r="F23" s="70" t="s">
        <v>139</v>
      </c>
    </row>
    <row r="24" spans="1:6" x14ac:dyDescent="0.25">
      <c r="F24" s="64">
        <f>Expected_Returns-Expected_Risk</f>
        <v>5188.9394564451541</v>
      </c>
    </row>
    <row r="26" spans="1:6" x14ac:dyDescent="0.25">
      <c r="B26" s="27" t="s">
        <v>113</v>
      </c>
      <c r="C26" s="28" t="s">
        <v>144</v>
      </c>
      <c r="D26" s="28" t="s">
        <v>145</v>
      </c>
    </row>
    <row r="27" spans="1:6" x14ac:dyDescent="0.25">
      <c r="B27" s="70" t="s">
        <v>139</v>
      </c>
      <c r="C27" s="65">
        <v>13790.474899386569</v>
      </c>
      <c r="D27" s="65">
        <v>5984.5423831476155</v>
      </c>
    </row>
    <row r="29" spans="1:6" x14ac:dyDescent="0.25">
      <c r="A29" s="47" t="s">
        <v>149</v>
      </c>
    </row>
    <row r="30" spans="1:6" x14ac:dyDescent="0.25">
      <c r="A30" s="47" t="s">
        <v>150</v>
      </c>
    </row>
    <row r="31" spans="1:6" x14ac:dyDescent="0.25">
      <c r="A31" s="47" t="s">
        <v>151</v>
      </c>
    </row>
    <row r="32" spans="1:6" x14ac:dyDescent="0.25">
      <c r="A32" s="47" t="s">
        <v>152</v>
      </c>
    </row>
    <row r="33" spans="1:1" x14ac:dyDescent="0.25">
      <c r="A33" s="47" t="s">
        <v>153</v>
      </c>
    </row>
    <row r="34" spans="1:1" x14ac:dyDescent="0.25">
      <c r="A34" s="47" t="s">
        <v>154</v>
      </c>
    </row>
    <row r="35" spans="1:1" x14ac:dyDescent="0.25">
      <c r="A35" s="47" t="s">
        <v>155</v>
      </c>
    </row>
    <row r="36" spans="1:1" x14ac:dyDescent="0.25">
      <c r="A36" s="47" t="s">
        <v>157</v>
      </c>
    </row>
    <row r="38" spans="1:1" x14ac:dyDescent="0.25">
      <c r="A38" s="94" t="s">
        <v>270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R32"/>
  <sheetViews>
    <sheetView tabSelected="1" topLeftCell="A6" zoomScale="115" zoomScaleNormal="115" workbookViewId="0">
      <selection activeCell="M22" sqref="M22"/>
    </sheetView>
  </sheetViews>
  <sheetFormatPr defaultColWidth="4.42578125" defaultRowHeight="15" x14ac:dyDescent="0.25"/>
  <cols>
    <col min="1" max="1" width="15.140625" customWidth="1"/>
    <col min="2" max="3" width="6" bestFit="1" customWidth="1"/>
    <col min="4" max="4" width="12" bestFit="1" customWidth="1"/>
    <col min="5" max="5" width="13.42578125" bestFit="1" customWidth="1"/>
    <col min="6" max="6" width="15.28515625" bestFit="1" customWidth="1"/>
    <col min="8" max="8" width="19" customWidth="1"/>
    <col min="9" max="9" width="11.140625" bestFit="1" customWidth="1"/>
    <col min="10" max="10" width="9.7109375" customWidth="1"/>
    <col min="11" max="11" width="15.140625" customWidth="1"/>
  </cols>
  <sheetData>
    <row r="1" spans="1:18" ht="18.75" x14ac:dyDescent="0.3">
      <c r="A1" s="6" t="s">
        <v>160</v>
      </c>
      <c r="B1" s="8"/>
      <c r="C1" s="8"/>
      <c r="D1" s="8"/>
      <c r="E1" s="8"/>
      <c r="F1" s="8"/>
      <c r="G1" s="8"/>
      <c r="H1" s="9"/>
      <c r="I1" s="9"/>
      <c r="J1" s="9"/>
      <c r="K1" s="9"/>
      <c r="L1" s="9"/>
      <c r="M1" s="9"/>
      <c r="N1" s="9"/>
      <c r="O1" s="9"/>
      <c r="P1" s="9"/>
      <c r="Q1" s="9"/>
      <c r="R1" s="9"/>
    </row>
    <row r="2" spans="1:18" x14ac:dyDescent="0.25">
      <c r="A2" s="10" t="s">
        <v>185</v>
      </c>
      <c r="B2" s="11"/>
      <c r="C2" s="11"/>
      <c r="D2" s="11"/>
      <c r="E2" s="11"/>
      <c r="F2" s="11"/>
      <c r="G2" s="11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</row>
    <row r="3" spans="1:18" x14ac:dyDescent="0.25">
      <c r="A3" s="10" t="s">
        <v>186</v>
      </c>
      <c r="B3" s="11"/>
      <c r="C3" s="11"/>
      <c r="D3" s="11"/>
      <c r="E3" s="11"/>
      <c r="F3" s="11"/>
      <c r="G3" s="11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</row>
    <row r="4" spans="1:18" x14ac:dyDescent="0.25">
      <c r="A4" s="13" t="s">
        <v>118</v>
      </c>
      <c r="B4" s="14"/>
      <c r="C4" s="14"/>
      <c r="D4" s="14"/>
      <c r="E4" s="14"/>
      <c r="F4" s="14"/>
      <c r="G4" s="14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</row>
    <row r="5" spans="1:18" x14ac:dyDescent="0.25"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</row>
    <row r="6" spans="1:18" x14ac:dyDescent="0.25">
      <c r="A6" s="17" t="s">
        <v>187</v>
      </c>
      <c r="B6" s="18"/>
      <c r="C6" s="18"/>
      <c r="D6" s="18"/>
      <c r="E6" s="18"/>
      <c r="F6" s="18"/>
      <c r="G6" s="18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</row>
    <row r="7" spans="1:18" x14ac:dyDescent="0.25">
      <c r="A7" s="20" t="s">
        <v>188</v>
      </c>
      <c r="B7" s="18"/>
      <c r="C7" s="18"/>
      <c r="D7" s="18"/>
      <c r="E7" s="18"/>
      <c r="F7" s="18"/>
      <c r="G7" s="18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</row>
    <row r="8" spans="1:18" x14ac:dyDescent="0.25">
      <c r="A8" s="20" t="s">
        <v>189</v>
      </c>
      <c r="B8" s="18"/>
      <c r="C8" s="18"/>
      <c r="D8" s="18"/>
      <c r="E8" s="18"/>
      <c r="F8" s="18"/>
      <c r="G8" s="18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</row>
    <row r="9" spans="1:18" x14ac:dyDescent="0.25">
      <c r="A9" s="20" t="s">
        <v>191</v>
      </c>
      <c r="B9" s="18"/>
      <c r="C9" s="18"/>
      <c r="D9" s="18"/>
      <c r="E9" s="18"/>
      <c r="F9" s="18"/>
      <c r="G9" s="18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</row>
    <row r="10" spans="1:18" x14ac:dyDescent="0.25">
      <c r="A10" s="20" t="s">
        <v>190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</row>
    <row r="12" spans="1:18" x14ac:dyDescent="0.25">
      <c r="A12" s="71" t="s">
        <v>161</v>
      </c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</row>
    <row r="13" spans="1:18" x14ac:dyDescent="0.25">
      <c r="A13" s="27" t="s">
        <v>162</v>
      </c>
      <c r="B13" s="27" t="s">
        <v>163</v>
      </c>
      <c r="C13" s="27" t="s">
        <v>164</v>
      </c>
      <c r="D13" s="27" t="s">
        <v>165</v>
      </c>
      <c r="E13" s="27" t="s">
        <v>166</v>
      </c>
      <c r="F13" s="27" t="s">
        <v>179</v>
      </c>
      <c r="H13" s="45" t="s">
        <v>167</v>
      </c>
      <c r="I13" s="27" t="s">
        <v>163</v>
      </c>
      <c r="J13" s="27" t="s">
        <v>164</v>
      </c>
      <c r="K13" s="27" t="s">
        <v>181</v>
      </c>
    </row>
    <row r="14" spans="1:18" x14ac:dyDescent="0.25">
      <c r="A14" s="28" t="s">
        <v>168</v>
      </c>
      <c r="B14" s="62">
        <v>0</v>
      </c>
      <c r="C14" s="62">
        <v>0</v>
      </c>
      <c r="D14" s="23">
        <f>SUM(Alexandria)</f>
        <v>0</v>
      </c>
      <c r="E14" s="30">
        <v>166</v>
      </c>
      <c r="F14" s="30">
        <f t="shared" ref="F14:F19" si="0">E14-D14</f>
        <v>166</v>
      </c>
      <c r="H14" s="28" t="s">
        <v>168</v>
      </c>
      <c r="I14" s="29">
        <v>5</v>
      </c>
      <c r="J14" s="29">
        <v>13</v>
      </c>
      <c r="K14" s="29">
        <v>15</v>
      </c>
    </row>
    <row r="15" spans="1:18" x14ac:dyDescent="0.25">
      <c r="A15" s="28" t="s">
        <v>169</v>
      </c>
      <c r="B15" s="62">
        <v>0</v>
      </c>
      <c r="C15" s="62">
        <v>0</v>
      </c>
      <c r="D15" s="23">
        <f>SUM(Bburg)</f>
        <v>0</v>
      </c>
      <c r="E15" s="30">
        <v>150</v>
      </c>
      <c r="F15" s="30">
        <f t="shared" si="0"/>
        <v>150</v>
      </c>
      <c r="H15" s="28" t="s">
        <v>169</v>
      </c>
      <c r="I15" s="29">
        <v>11</v>
      </c>
      <c r="J15" s="29">
        <v>12</v>
      </c>
      <c r="K15" s="29">
        <v>15</v>
      </c>
    </row>
    <row r="16" spans="1:18" x14ac:dyDescent="0.25">
      <c r="A16" s="28" t="s">
        <v>170</v>
      </c>
      <c r="B16" s="62">
        <v>0</v>
      </c>
      <c r="C16" s="62">
        <v>0</v>
      </c>
      <c r="D16" s="23">
        <f>SUM(Cburg)</f>
        <v>0</v>
      </c>
      <c r="E16" s="30">
        <v>141</v>
      </c>
      <c r="F16" s="30">
        <f t="shared" si="0"/>
        <v>141</v>
      </c>
      <c r="H16" s="28" t="s">
        <v>170</v>
      </c>
      <c r="I16" s="29">
        <v>10</v>
      </c>
      <c r="J16" s="29">
        <v>12</v>
      </c>
      <c r="K16" s="29">
        <v>15</v>
      </c>
    </row>
    <row r="17" spans="1:18" x14ac:dyDescent="0.25">
      <c r="A17" s="28" t="s">
        <v>171</v>
      </c>
      <c r="B17" s="62">
        <v>0</v>
      </c>
      <c r="C17" s="62">
        <v>0</v>
      </c>
      <c r="D17" s="23">
        <f>SUM(Roanoke)</f>
        <v>0</v>
      </c>
      <c r="E17" s="30">
        <v>154</v>
      </c>
      <c r="F17" s="30">
        <f t="shared" si="0"/>
        <v>154</v>
      </c>
      <c r="H17" s="28" t="s">
        <v>171</v>
      </c>
      <c r="I17" s="29">
        <v>7</v>
      </c>
      <c r="J17" s="29">
        <v>7</v>
      </c>
      <c r="K17" s="29">
        <v>30</v>
      </c>
    </row>
    <row r="18" spans="1:18" x14ac:dyDescent="0.25">
      <c r="A18" s="28" t="s">
        <v>172</v>
      </c>
      <c r="B18" s="62">
        <v>0</v>
      </c>
      <c r="C18" s="62">
        <v>0</v>
      </c>
      <c r="D18" s="23">
        <f>SUM(Salem)</f>
        <v>0</v>
      </c>
      <c r="E18" s="30">
        <v>128</v>
      </c>
      <c r="F18" s="30">
        <f t="shared" si="0"/>
        <v>128</v>
      </c>
      <c r="H18" s="28" t="s">
        <v>172</v>
      </c>
      <c r="I18" s="29">
        <v>8</v>
      </c>
      <c r="J18" s="29">
        <v>8</v>
      </c>
      <c r="K18" s="29">
        <v>15</v>
      </c>
    </row>
    <row r="19" spans="1:18" x14ac:dyDescent="0.25">
      <c r="A19" s="28" t="s">
        <v>173</v>
      </c>
      <c r="B19" s="62">
        <v>0</v>
      </c>
      <c r="C19" s="62">
        <v>0</v>
      </c>
      <c r="D19" s="23">
        <f>SUM(Vienna)</f>
        <v>0</v>
      </c>
      <c r="E19" s="30">
        <v>172</v>
      </c>
      <c r="F19" s="30">
        <f t="shared" si="0"/>
        <v>172</v>
      </c>
      <c r="H19" s="28" t="s">
        <v>173</v>
      </c>
      <c r="I19" s="29">
        <v>12</v>
      </c>
      <c r="J19" s="29">
        <v>14</v>
      </c>
      <c r="K19" s="29">
        <v>15</v>
      </c>
    </row>
    <row r="21" spans="1:18" x14ac:dyDescent="0.25">
      <c r="A21" s="27" t="s">
        <v>174</v>
      </c>
      <c r="B21" s="23">
        <f>SUM(WH_1)</f>
        <v>0</v>
      </c>
      <c r="C21" s="23">
        <f>SUM(WH_2)</f>
        <v>0</v>
      </c>
      <c r="H21" s="27" t="s">
        <v>178</v>
      </c>
      <c r="I21" s="64">
        <f>SUMPRODUCT(I14:I19, WH_1)+SUMPRODUCT(J14:J19, WH_2)</f>
        <v>0</v>
      </c>
    </row>
    <row r="22" spans="1:18" x14ac:dyDescent="0.25">
      <c r="A22" s="45" t="s">
        <v>175</v>
      </c>
      <c r="B22" s="30">
        <v>400</v>
      </c>
      <c r="C22" s="30">
        <v>500</v>
      </c>
      <c r="H22" s="27" t="s">
        <v>180</v>
      </c>
      <c r="I22" s="64">
        <f>SUMPRODUCT(Unmet_Demand, Unmet_Penalty)</f>
        <v>15975</v>
      </c>
    </row>
    <row r="23" spans="1:18" x14ac:dyDescent="0.25">
      <c r="H23" s="27" t="s">
        <v>182</v>
      </c>
      <c r="I23" s="64">
        <f>SUMPRODUCT(I14:I19, WH_1) + SUMPRODUCT(J14:J19, WH_2) +SUMPRODUCT(Unmet_Penalty, Unmet_Demand)</f>
        <v>15975</v>
      </c>
    </row>
    <row r="25" spans="1:18" x14ac:dyDescent="0.25">
      <c r="A25" s="20" t="s">
        <v>176</v>
      </c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</row>
    <row r="26" spans="1:18" x14ac:dyDescent="0.25">
      <c r="A26" s="20" t="s">
        <v>183</v>
      </c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</row>
    <row r="27" spans="1:18" x14ac:dyDescent="0.25">
      <c r="A27" s="20" t="s">
        <v>192</v>
      </c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</row>
    <row r="28" spans="1:18" x14ac:dyDescent="0.25">
      <c r="A28" s="20" t="s">
        <v>268</v>
      </c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</row>
    <row r="29" spans="1:18" x14ac:dyDescent="0.25">
      <c r="A29" s="20" t="s">
        <v>177</v>
      </c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</row>
    <row r="30" spans="1:18" x14ac:dyDescent="0.25">
      <c r="A30" s="20" t="s">
        <v>184</v>
      </c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</row>
    <row r="32" spans="1:18" x14ac:dyDescent="0.25">
      <c r="A32" s="94" t="s">
        <v>271</v>
      </c>
    </row>
  </sheetData>
  <conditionalFormatting sqref="A14:F19">
    <cfRule type="expression" dxfId="2" priority="1">
      <formula>$F14 &gt; 0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Q39"/>
  <sheetViews>
    <sheetView zoomScale="115" zoomScaleNormal="115" workbookViewId="0">
      <selection activeCell="W18" sqref="W18"/>
    </sheetView>
  </sheetViews>
  <sheetFormatPr defaultColWidth="4.5703125" defaultRowHeight="15" x14ac:dyDescent="0.25"/>
  <cols>
    <col min="1" max="1" width="16.28515625" customWidth="1"/>
    <col min="2" max="2" width="12.5703125" customWidth="1"/>
    <col min="3" max="3" width="16.28515625" bestFit="1" customWidth="1"/>
    <col min="4" max="4" width="12.7109375" customWidth="1"/>
    <col min="5" max="5" width="9.7109375" bestFit="1" customWidth="1"/>
    <col min="6" max="6" width="8.5703125" bestFit="1" customWidth="1"/>
    <col min="8" max="8" width="6.28515625" customWidth="1"/>
    <col min="9" max="9" width="6.140625" bestFit="1" customWidth="1"/>
  </cols>
  <sheetData>
    <row r="1" spans="1:17" ht="18.75" x14ac:dyDescent="0.3">
      <c r="A1" s="6" t="s">
        <v>159</v>
      </c>
      <c r="B1" s="8"/>
      <c r="C1" s="8"/>
      <c r="D1" s="8"/>
      <c r="E1" s="8"/>
      <c r="F1" s="8"/>
      <c r="G1" s="9"/>
      <c r="H1" s="9"/>
      <c r="I1" s="9"/>
      <c r="J1" s="9"/>
      <c r="K1" s="9"/>
      <c r="L1" s="9"/>
      <c r="M1" s="9"/>
      <c r="N1" s="9"/>
      <c r="O1" s="9"/>
      <c r="P1" s="9"/>
      <c r="Q1" s="9"/>
    </row>
    <row r="2" spans="1:17" x14ac:dyDescent="0.25">
      <c r="A2" s="10" t="s">
        <v>215</v>
      </c>
      <c r="B2" s="11"/>
      <c r="C2" s="11"/>
      <c r="D2" s="11"/>
      <c r="E2" s="11"/>
      <c r="F2" s="11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</row>
    <row r="3" spans="1:17" x14ac:dyDescent="0.25">
      <c r="A3" s="10" t="s">
        <v>216</v>
      </c>
      <c r="B3" s="11"/>
      <c r="C3" s="11"/>
      <c r="D3" s="11"/>
      <c r="E3" s="11"/>
      <c r="F3" s="11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</row>
    <row r="4" spans="1:17" x14ac:dyDescent="0.25">
      <c r="A4" s="13" t="s">
        <v>118</v>
      </c>
      <c r="B4" s="14"/>
      <c r="C4" s="14"/>
      <c r="D4" s="14"/>
      <c r="E4" s="14"/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</row>
    <row r="5" spans="1:17" x14ac:dyDescent="0.25"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</row>
    <row r="6" spans="1:17" x14ac:dyDescent="0.25">
      <c r="A6" s="17" t="s">
        <v>187</v>
      </c>
      <c r="B6" s="18"/>
      <c r="C6" s="18"/>
      <c r="D6" s="18"/>
      <c r="E6" s="18"/>
      <c r="F6" s="18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</row>
    <row r="7" spans="1:17" x14ac:dyDescent="0.25">
      <c r="A7" s="20" t="s">
        <v>217</v>
      </c>
      <c r="B7" s="18"/>
      <c r="C7" s="18"/>
      <c r="D7" s="18"/>
      <c r="E7" s="18"/>
      <c r="F7" s="18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</row>
    <row r="8" spans="1:17" x14ac:dyDescent="0.25">
      <c r="A8" s="20" t="s">
        <v>218</v>
      </c>
      <c r="B8" s="18"/>
      <c r="C8" s="18"/>
      <c r="D8" s="18"/>
      <c r="E8" s="18"/>
      <c r="F8" s="18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</row>
    <row r="9" spans="1:17" x14ac:dyDescent="0.25">
      <c r="A9" s="20" t="s">
        <v>220</v>
      </c>
      <c r="B9" s="18"/>
      <c r="C9" s="18"/>
      <c r="D9" s="18"/>
      <c r="E9" s="18"/>
      <c r="F9" s="18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</row>
    <row r="10" spans="1:17" x14ac:dyDescent="0.25">
      <c r="A10" s="20" t="s">
        <v>219</v>
      </c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</row>
    <row r="11" spans="1:17" x14ac:dyDescent="0.25">
      <c r="A11" s="20" t="s">
        <v>221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</row>
    <row r="13" spans="1:17" x14ac:dyDescent="0.25">
      <c r="A13" s="71" t="s">
        <v>193</v>
      </c>
      <c r="B13" s="72"/>
      <c r="C13" s="72"/>
      <c r="D13" s="72"/>
      <c r="E13" s="72"/>
      <c r="F13" s="72"/>
    </row>
    <row r="14" spans="1:17" x14ac:dyDescent="0.25">
      <c r="A14" s="27" t="s">
        <v>194</v>
      </c>
      <c r="B14" s="27" t="s">
        <v>201</v>
      </c>
      <c r="C14" s="27" t="s">
        <v>202</v>
      </c>
      <c r="D14" s="27" t="s">
        <v>203</v>
      </c>
      <c r="E14" s="27" t="s">
        <v>195</v>
      </c>
      <c r="F14" s="27" t="s">
        <v>196</v>
      </c>
    </row>
    <row r="15" spans="1:17" x14ac:dyDescent="0.25">
      <c r="A15" s="28" t="s">
        <v>168</v>
      </c>
      <c r="B15" s="62">
        <v>0</v>
      </c>
      <c r="C15" s="62">
        <v>0</v>
      </c>
      <c r="D15" s="62">
        <v>1</v>
      </c>
      <c r="E15" s="23">
        <f>SUM(B15:D15)</f>
        <v>1</v>
      </c>
      <c r="F15" s="30">
        <v>383</v>
      </c>
    </row>
    <row r="16" spans="1:17" x14ac:dyDescent="0.25">
      <c r="A16" s="28" t="s">
        <v>169</v>
      </c>
      <c r="B16" s="62">
        <v>0</v>
      </c>
      <c r="C16" s="62">
        <v>0</v>
      </c>
      <c r="D16" s="62">
        <v>1</v>
      </c>
      <c r="E16" s="23">
        <f t="shared" ref="E16:E20" si="0">SUM(B16:D16)</f>
        <v>1</v>
      </c>
      <c r="F16" s="30">
        <v>349</v>
      </c>
    </row>
    <row r="17" spans="1:13" x14ac:dyDescent="0.25">
      <c r="A17" s="28" t="s">
        <v>170</v>
      </c>
      <c r="B17" s="62">
        <v>0</v>
      </c>
      <c r="C17" s="62">
        <v>0</v>
      </c>
      <c r="D17" s="62">
        <v>1</v>
      </c>
      <c r="E17" s="23">
        <f t="shared" si="0"/>
        <v>1</v>
      </c>
      <c r="F17" s="30">
        <v>233</v>
      </c>
    </row>
    <row r="18" spans="1:13" x14ac:dyDescent="0.25">
      <c r="A18" s="28" t="s">
        <v>171</v>
      </c>
      <c r="B18" s="62">
        <v>0</v>
      </c>
      <c r="C18" s="62">
        <v>0</v>
      </c>
      <c r="D18" s="62">
        <v>1</v>
      </c>
      <c r="E18" s="23">
        <f t="shared" si="0"/>
        <v>1</v>
      </c>
      <c r="F18" s="30">
        <v>165</v>
      </c>
    </row>
    <row r="19" spans="1:13" x14ac:dyDescent="0.25">
      <c r="A19" s="28" t="s">
        <v>172</v>
      </c>
      <c r="B19" s="62">
        <v>0</v>
      </c>
      <c r="C19" s="62">
        <v>0</v>
      </c>
      <c r="D19" s="62">
        <v>1</v>
      </c>
      <c r="E19" s="23">
        <f t="shared" si="0"/>
        <v>1</v>
      </c>
      <c r="F19" s="30">
        <v>153</v>
      </c>
    </row>
    <row r="20" spans="1:13" x14ac:dyDescent="0.25">
      <c r="A20" s="28" t="s">
        <v>173</v>
      </c>
      <c r="B20" s="62">
        <v>0</v>
      </c>
      <c r="C20" s="62">
        <v>0</v>
      </c>
      <c r="D20" s="62">
        <v>1</v>
      </c>
      <c r="E20" s="23">
        <f t="shared" si="0"/>
        <v>1</v>
      </c>
      <c r="F20" s="30">
        <v>262</v>
      </c>
    </row>
    <row r="22" spans="1:13" x14ac:dyDescent="0.25">
      <c r="A22" s="27" t="s">
        <v>197</v>
      </c>
      <c r="B22" s="23">
        <f>SUMPRODUCT(Truck, Demand)</f>
        <v>0</v>
      </c>
      <c r="C22" s="23">
        <f>SUMPRODUCT(Train, Demand)</f>
        <v>0</v>
      </c>
      <c r="D22" s="23">
        <f>SUMPRODUCT(Plane, Demand)</f>
        <v>1545</v>
      </c>
    </row>
    <row r="23" spans="1:13" x14ac:dyDescent="0.25">
      <c r="A23" s="27" t="s">
        <v>204</v>
      </c>
      <c r="B23" s="29">
        <v>11</v>
      </c>
      <c r="C23" s="29">
        <v>5</v>
      </c>
      <c r="D23" s="29">
        <v>25</v>
      </c>
    </row>
    <row r="24" spans="1:13" x14ac:dyDescent="0.25">
      <c r="A24" s="27" t="s">
        <v>198</v>
      </c>
      <c r="B24" s="23">
        <f>SUM(Truck)</f>
        <v>0</v>
      </c>
      <c r="C24" s="23">
        <f>SUM(Train)</f>
        <v>0</v>
      </c>
      <c r="D24" s="23">
        <f>SUM(Plane)</f>
        <v>6</v>
      </c>
    </row>
    <row r="25" spans="1:13" x14ac:dyDescent="0.25">
      <c r="A25" s="27" t="s">
        <v>205</v>
      </c>
      <c r="B25" s="50">
        <v>7</v>
      </c>
      <c r="C25" s="50">
        <v>12</v>
      </c>
      <c r="D25" s="50">
        <v>2</v>
      </c>
    </row>
    <row r="27" spans="1:13" x14ac:dyDescent="0.25">
      <c r="A27" s="27" t="s">
        <v>206</v>
      </c>
      <c r="B27" s="64">
        <f>SUMPRODUCT(Total_Load, Unit_Cost)</f>
        <v>38625</v>
      </c>
      <c r="C27" s="27" t="s">
        <v>208</v>
      </c>
      <c r="D27" s="74">
        <v>90000</v>
      </c>
    </row>
    <row r="28" spans="1:13" x14ac:dyDescent="0.25">
      <c r="A28" s="27" t="s">
        <v>207</v>
      </c>
      <c r="B28" s="73">
        <f>SUMPRODUCT(Number_Stops, Time_Stop)</f>
        <v>12</v>
      </c>
      <c r="C28" s="27" t="s">
        <v>209</v>
      </c>
      <c r="D28" s="75">
        <v>60</v>
      </c>
    </row>
    <row r="31" spans="1:13" x14ac:dyDescent="0.25">
      <c r="A31" s="20" t="s">
        <v>199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</row>
    <row r="32" spans="1:13" x14ac:dyDescent="0.25">
      <c r="A32" s="20" t="s">
        <v>200</v>
      </c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</row>
    <row r="33" spans="1:13" x14ac:dyDescent="0.25">
      <c r="A33" s="20" t="s">
        <v>210</v>
      </c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</row>
    <row r="34" spans="1:13" x14ac:dyDescent="0.25">
      <c r="A34" s="18" t="s">
        <v>211</v>
      </c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</row>
    <row r="35" spans="1:13" x14ac:dyDescent="0.25">
      <c r="A35" s="20" t="s">
        <v>212</v>
      </c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</row>
    <row r="36" spans="1:13" x14ac:dyDescent="0.25">
      <c r="A36" s="20" t="s">
        <v>213</v>
      </c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</row>
    <row r="37" spans="1:13" x14ac:dyDescent="0.25">
      <c r="A37" s="18" t="s">
        <v>214</v>
      </c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</row>
    <row r="39" spans="1:13" x14ac:dyDescent="0.25">
      <c r="A39" s="94" t="s">
        <v>271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V55"/>
  <sheetViews>
    <sheetView zoomScale="115" zoomScaleNormal="115" workbookViewId="0">
      <selection activeCell="S14" sqref="S14"/>
    </sheetView>
  </sheetViews>
  <sheetFormatPr defaultColWidth="5.140625" defaultRowHeight="15" x14ac:dyDescent="0.25"/>
  <cols>
    <col min="1" max="1" width="16.28515625" bestFit="1" customWidth="1"/>
    <col min="2" max="2" width="11.140625" bestFit="1" customWidth="1"/>
    <col min="3" max="3" width="6.42578125" bestFit="1" customWidth="1"/>
    <col min="4" max="4" width="9.42578125" bestFit="1" customWidth="1"/>
    <col min="6" max="6" width="14" customWidth="1"/>
    <col min="7" max="7" width="13.85546875" bestFit="1" customWidth="1"/>
    <col min="8" max="8" width="9.140625" bestFit="1" customWidth="1"/>
    <col min="9" max="9" width="13" customWidth="1"/>
    <col min="10" max="10" width="10.5703125" bestFit="1" customWidth="1"/>
    <col min="12" max="13" width="13.85546875" customWidth="1"/>
    <col min="18" max="18" width="27.42578125" bestFit="1" customWidth="1"/>
    <col min="19" max="19" width="5" bestFit="1" customWidth="1"/>
    <col min="21" max="21" width="11.140625" bestFit="1" customWidth="1"/>
    <col min="22" max="22" width="15" bestFit="1" customWidth="1"/>
  </cols>
  <sheetData>
    <row r="1" spans="1:22" ht="18.75" x14ac:dyDescent="0.3">
      <c r="A1" s="6" t="s">
        <v>158</v>
      </c>
      <c r="B1" s="8"/>
      <c r="C1" s="8"/>
      <c r="D1" s="8"/>
      <c r="E1" s="8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</row>
    <row r="2" spans="1:22" x14ac:dyDescent="0.25">
      <c r="A2" s="10" t="s">
        <v>249</v>
      </c>
      <c r="B2" s="11"/>
      <c r="C2" s="11"/>
      <c r="D2" s="11"/>
      <c r="E2" s="11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</row>
    <row r="3" spans="1:22" x14ac:dyDescent="0.25">
      <c r="A3" s="10" t="s">
        <v>250</v>
      </c>
      <c r="B3" s="11"/>
      <c r="C3" s="11"/>
      <c r="D3" s="11"/>
      <c r="E3" s="11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</row>
    <row r="4" spans="1:22" x14ac:dyDescent="0.25">
      <c r="A4" s="13" t="s">
        <v>118</v>
      </c>
      <c r="B4" s="14"/>
      <c r="C4" s="14"/>
      <c r="D4" s="14"/>
      <c r="E4" s="14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</row>
    <row r="5" spans="1:22" x14ac:dyDescent="0.25"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</row>
    <row r="6" spans="1:22" x14ac:dyDescent="0.25">
      <c r="A6" s="17" t="s">
        <v>187</v>
      </c>
      <c r="B6" s="18"/>
      <c r="C6" s="18"/>
      <c r="D6" s="18"/>
      <c r="E6" s="18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</row>
    <row r="7" spans="1:22" x14ac:dyDescent="0.25">
      <c r="A7" s="20" t="s">
        <v>251</v>
      </c>
      <c r="B7" s="18"/>
      <c r="C7" s="18"/>
      <c r="D7" s="18"/>
      <c r="E7" s="18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</row>
    <row r="8" spans="1:22" x14ac:dyDescent="0.25">
      <c r="A8" s="20" t="s">
        <v>252</v>
      </c>
      <c r="B8" s="18"/>
      <c r="C8" s="18"/>
      <c r="D8" s="18"/>
      <c r="E8" s="18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</row>
    <row r="9" spans="1:22" x14ac:dyDescent="0.25">
      <c r="A9" s="20" t="s">
        <v>253</v>
      </c>
      <c r="B9" s="18"/>
      <c r="C9" s="18"/>
      <c r="D9" s="18"/>
      <c r="E9" s="18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</row>
    <row r="10" spans="1:22" x14ac:dyDescent="0.25">
      <c r="A10" s="20" t="s">
        <v>254</v>
      </c>
      <c r="B10" s="18"/>
      <c r="C10" s="18"/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</row>
    <row r="12" spans="1:22" x14ac:dyDescent="0.25">
      <c r="A12" s="71" t="s">
        <v>222</v>
      </c>
      <c r="B12" s="72"/>
      <c r="C12" s="72"/>
      <c r="D12" s="72"/>
      <c r="E12" s="72"/>
      <c r="F12" s="72"/>
      <c r="G12" s="72"/>
      <c r="H12" s="72"/>
      <c r="I12" s="76" t="s">
        <v>223</v>
      </c>
      <c r="J12" s="59"/>
      <c r="R12" s="76" t="s">
        <v>224</v>
      </c>
      <c r="S12" s="76"/>
      <c r="T12" s="76"/>
      <c r="U12" s="76"/>
      <c r="V12" s="77" t="s">
        <v>225</v>
      </c>
    </row>
    <row r="13" spans="1:22" x14ac:dyDescent="0.25">
      <c r="A13" s="27" t="s">
        <v>226</v>
      </c>
      <c r="B13" s="27" t="s">
        <v>227</v>
      </c>
      <c r="C13" s="27" t="s">
        <v>228</v>
      </c>
      <c r="D13" s="27" t="s">
        <v>229</v>
      </c>
      <c r="F13" s="70" t="s">
        <v>230</v>
      </c>
      <c r="G13" s="27" t="s">
        <v>231</v>
      </c>
      <c r="H13" s="27" t="s">
        <v>232</v>
      </c>
      <c r="I13" s="27" t="s">
        <v>233</v>
      </c>
      <c r="J13" s="27" t="s">
        <v>234</v>
      </c>
      <c r="R13" s="78" t="s">
        <v>235</v>
      </c>
      <c r="S13" s="79"/>
      <c r="T13" s="80"/>
      <c r="U13" s="70" t="s">
        <v>236</v>
      </c>
      <c r="V13" s="27" t="s">
        <v>237</v>
      </c>
    </row>
    <row r="14" spans="1:22" x14ac:dyDescent="0.25">
      <c r="A14" s="28" t="s">
        <v>168</v>
      </c>
      <c r="B14" s="28" t="s">
        <v>169</v>
      </c>
      <c r="C14" s="62">
        <v>0</v>
      </c>
      <c r="D14" s="29">
        <v>47</v>
      </c>
      <c r="F14" s="81" t="s">
        <v>238</v>
      </c>
      <c r="G14" s="23">
        <f t="shared" ref="G14:G21" si="0">SUMIF(From,F14,Route)-SUMIF(To, F14,Route)</f>
        <v>0</v>
      </c>
      <c r="H14" s="30">
        <v>0</v>
      </c>
      <c r="I14" s="23">
        <f t="shared" ref="I14:I21" si="1">SUMIF(To,F14,Route)</f>
        <v>0</v>
      </c>
      <c r="J14" s="30">
        <v>0</v>
      </c>
      <c r="R14" s="82">
        <f>VLOOKUP(A14,$U$14:$V$21,2,FALSE)-VLOOKUP(B14,$U$14:$V$21,2,FALSE)+1</f>
        <v>1</v>
      </c>
      <c r="S14" s="82">
        <f>(8-1)*(1-C14)</f>
        <v>7</v>
      </c>
      <c r="U14" s="81" t="s">
        <v>238</v>
      </c>
      <c r="V14" s="67">
        <v>0</v>
      </c>
    </row>
    <row r="15" spans="1:22" x14ac:dyDescent="0.25">
      <c r="A15" s="28" t="s">
        <v>168</v>
      </c>
      <c r="B15" s="28" t="s">
        <v>170</v>
      </c>
      <c r="C15" s="62">
        <v>0</v>
      </c>
      <c r="D15" s="29">
        <v>45</v>
      </c>
      <c r="F15" s="28" t="s">
        <v>168</v>
      </c>
      <c r="G15" s="23">
        <f t="shared" si="0"/>
        <v>0</v>
      </c>
      <c r="H15" s="30">
        <v>0</v>
      </c>
      <c r="I15" s="23">
        <f t="shared" si="1"/>
        <v>0</v>
      </c>
      <c r="J15" s="30">
        <v>0</v>
      </c>
      <c r="R15" s="82">
        <f t="shared" ref="R15:R55" si="2">VLOOKUP(A15,$U$14:$V$21,2,FALSE)-VLOOKUP(B15,$U$14:$V$21,2,FALSE)+1</f>
        <v>-1.0000000000000009</v>
      </c>
      <c r="S15" s="82">
        <f t="shared" ref="S15:S55" si="3">(8-1)*(1-C15)</f>
        <v>7</v>
      </c>
      <c r="U15" s="28" t="s">
        <v>168</v>
      </c>
      <c r="V15" s="67">
        <v>0</v>
      </c>
    </row>
    <row r="16" spans="1:22" x14ac:dyDescent="0.25">
      <c r="A16" s="28" t="s">
        <v>168</v>
      </c>
      <c r="B16" s="28" t="s">
        <v>171</v>
      </c>
      <c r="C16" s="62">
        <v>0</v>
      </c>
      <c r="D16" s="29">
        <v>38</v>
      </c>
      <c r="F16" s="28" t="s">
        <v>169</v>
      </c>
      <c r="G16" s="23">
        <f t="shared" si="0"/>
        <v>1</v>
      </c>
      <c r="H16" s="30">
        <v>1</v>
      </c>
      <c r="I16" s="23">
        <f t="shared" si="1"/>
        <v>0</v>
      </c>
      <c r="J16" s="30">
        <v>0</v>
      </c>
      <c r="R16" s="82">
        <f t="shared" si="2"/>
        <v>1</v>
      </c>
      <c r="S16" s="82">
        <f t="shared" si="3"/>
        <v>7</v>
      </c>
      <c r="U16" s="28" t="s">
        <v>169</v>
      </c>
      <c r="V16" s="67">
        <v>0</v>
      </c>
    </row>
    <row r="17" spans="1:22" x14ac:dyDescent="0.25">
      <c r="A17" s="28" t="s">
        <v>168</v>
      </c>
      <c r="B17" s="28" t="s">
        <v>172</v>
      </c>
      <c r="C17" s="62">
        <v>0</v>
      </c>
      <c r="D17" s="29">
        <v>46</v>
      </c>
      <c r="F17" s="28" t="s">
        <v>170</v>
      </c>
      <c r="G17" s="23">
        <f t="shared" si="0"/>
        <v>-1</v>
      </c>
      <c r="H17" s="30">
        <v>-1</v>
      </c>
      <c r="I17" s="23">
        <f t="shared" si="1"/>
        <v>1</v>
      </c>
      <c r="J17" s="30">
        <v>1</v>
      </c>
      <c r="R17" s="82">
        <f t="shared" si="2"/>
        <v>1</v>
      </c>
      <c r="S17" s="82">
        <f t="shared" si="3"/>
        <v>7</v>
      </c>
      <c r="U17" s="28" t="s">
        <v>170</v>
      </c>
      <c r="V17" s="67">
        <v>2.0000000000000009</v>
      </c>
    </row>
    <row r="18" spans="1:22" x14ac:dyDescent="0.25">
      <c r="A18" s="28" t="s">
        <v>168</v>
      </c>
      <c r="B18" s="28" t="s">
        <v>173</v>
      </c>
      <c r="C18" s="62">
        <v>0</v>
      </c>
      <c r="D18" s="29">
        <v>32</v>
      </c>
      <c r="F18" s="28" t="s">
        <v>171</v>
      </c>
      <c r="G18" s="23">
        <f t="shared" si="0"/>
        <v>0</v>
      </c>
      <c r="H18" s="30">
        <v>0</v>
      </c>
      <c r="I18" s="23">
        <f t="shared" si="1"/>
        <v>0</v>
      </c>
      <c r="J18" s="30">
        <v>0</v>
      </c>
      <c r="R18" s="82">
        <f t="shared" si="2"/>
        <v>0</v>
      </c>
      <c r="S18" s="82">
        <f t="shared" si="3"/>
        <v>7</v>
      </c>
      <c r="U18" s="28" t="s">
        <v>171</v>
      </c>
      <c r="V18" s="67">
        <v>0</v>
      </c>
    </row>
    <row r="19" spans="1:22" x14ac:dyDescent="0.25">
      <c r="A19" s="28" t="s">
        <v>169</v>
      </c>
      <c r="B19" s="28" t="s">
        <v>168</v>
      </c>
      <c r="C19" s="62">
        <v>0</v>
      </c>
      <c r="D19" s="29">
        <v>47</v>
      </c>
      <c r="F19" s="28" t="s">
        <v>172</v>
      </c>
      <c r="G19" s="23">
        <f t="shared" si="0"/>
        <v>0</v>
      </c>
      <c r="H19" s="30">
        <v>0</v>
      </c>
      <c r="I19" s="23">
        <f t="shared" si="1"/>
        <v>0</v>
      </c>
      <c r="J19" s="30">
        <v>0</v>
      </c>
      <c r="R19" s="82">
        <f t="shared" si="2"/>
        <v>1</v>
      </c>
      <c r="S19" s="82">
        <f t="shared" si="3"/>
        <v>7</v>
      </c>
      <c r="U19" s="28" t="s">
        <v>172</v>
      </c>
      <c r="V19" s="67">
        <v>0</v>
      </c>
    </row>
    <row r="20" spans="1:22" x14ac:dyDescent="0.25">
      <c r="A20" s="28" t="s">
        <v>169</v>
      </c>
      <c r="B20" s="28" t="s">
        <v>170</v>
      </c>
      <c r="C20" s="62">
        <v>0</v>
      </c>
      <c r="D20" s="29">
        <v>15</v>
      </c>
      <c r="F20" s="28" t="s">
        <v>173</v>
      </c>
      <c r="G20" s="23">
        <f t="shared" si="0"/>
        <v>0</v>
      </c>
      <c r="H20" s="30">
        <v>0</v>
      </c>
      <c r="I20" s="23">
        <f t="shared" si="1"/>
        <v>1</v>
      </c>
      <c r="J20" s="30">
        <v>1</v>
      </c>
      <c r="R20" s="82">
        <f t="shared" si="2"/>
        <v>-1.0000000000000009</v>
      </c>
      <c r="S20" s="82">
        <f t="shared" si="3"/>
        <v>7</v>
      </c>
      <c r="U20" s="28" t="s">
        <v>173</v>
      </c>
      <c r="V20" s="67">
        <v>1.0000000000000004</v>
      </c>
    </row>
    <row r="21" spans="1:22" x14ac:dyDescent="0.25">
      <c r="A21" s="28" t="s">
        <v>169</v>
      </c>
      <c r="B21" s="28" t="s">
        <v>171</v>
      </c>
      <c r="C21" s="62">
        <v>0</v>
      </c>
      <c r="D21" s="29">
        <v>27</v>
      </c>
      <c r="F21" s="81" t="s">
        <v>239</v>
      </c>
      <c r="G21" s="23">
        <f t="shared" si="0"/>
        <v>0</v>
      </c>
      <c r="H21" s="30">
        <v>0</v>
      </c>
      <c r="I21" s="23">
        <f t="shared" si="1"/>
        <v>0</v>
      </c>
      <c r="J21" s="30">
        <v>0</v>
      </c>
      <c r="R21" s="82">
        <f t="shared" si="2"/>
        <v>1</v>
      </c>
      <c r="S21" s="82">
        <f t="shared" si="3"/>
        <v>7</v>
      </c>
      <c r="U21" s="81" t="s">
        <v>239</v>
      </c>
      <c r="V21" s="67">
        <v>0</v>
      </c>
    </row>
    <row r="22" spans="1:22" x14ac:dyDescent="0.25">
      <c r="A22" s="28" t="s">
        <v>169</v>
      </c>
      <c r="B22" s="28" t="s">
        <v>172</v>
      </c>
      <c r="C22" s="62">
        <v>0</v>
      </c>
      <c r="D22" s="29">
        <v>22</v>
      </c>
      <c r="R22" s="82">
        <f t="shared" si="2"/>
        <v>1</v>
      </c>
      <c r="S22" s="82">
        <f t="shared" si="3"/>
        <v>7</v>
      </c>
    </row>
    <row r="23" spans="1:22" x14ac:dyDescent="0.25">
      <c r="A23" s="28" t="s">
        <v>169</v>
      </c>
      <c r="B23" s="28" t="s">
        <v>173</v>
      </c>
      <c r="C23" s="62">
        <v>1</v>
      </c>
      <c r="D23" s="29">
        <v>43</v>
      </c>
      <c r="F23" s="83" t="s">
        <v>248</v>
      </c>
      <c r="G23" s="64">
        <f>SUMPRODUCT(Route, Path_Cost)</f>
        <v>84</v>
      </c>
      <c r="R23" s="82">
        <f t="shared" si="2"/>
        <v>0</v>
      </c>
      <c r="S23" s="82">
        <f t="shared" si="3"/>
        <v>0</v>
      </c>
    </row>
    <row r="24" spans="1:22" x14ac:dyDescent="0.25">
      <c r="A24" s="28" t="s">
        <v>170</v>
      </c>
      <c r="B24" s="28" t="s">
        <v>168</v>
      </c>
      <c r="C24" s="62">
        <v>0</v>
      </c>
      <c r="D24" s="29">
        <v>45</v>
      </c>
      <c r="R24" s="82">
        <f t="shared" si="2"/>
        <v>3.0000000000000009</v>
      </c>
      <c r="S24" s="82">
        <f t="shared" si="3"/>
        <v>7</v>
      </c>
    </row>
    <row r="25" spans="1:22" x14ac:dyDescent="0.25">
      <c r="A25" s="28" t="s">
        <v>170</v>
      </c>
      <c r="B25" s="28" t="s">
        <v>169</v>
      </c>
      <c r="C25" s="62">
        <v>0</v>
      </c>
      <c r="D25" s="29">
        <v>15</v>
      </c>
      <c r="R25" s="82">
        <f t="shared" si="2"/>
        <v>3.0000000000000009</v>
      </c>
      <c r="S25" s="82">
        <f t="shared" si="3"/>
        <v>7</v>
      </c>
    </row>
    <row r="26" spans="1:22" x14ac:dyDescent="0.25">
      <c r="A26" s="28" t="s">
        <v>170</v>
      </c>
      <c r="B26" s="28" t="s">
        <v>171</v>
      </c>
      <c r="C26" s="62">
        <v>0</v>
      </c>
      <c r="D26" s="29">
        <v>33</v>
      </c>
      <c r="R26" s="82">
        <f t="shared" si="2"/>
        <v>3.0000000000000009</v>
      </c>
      <c r="S26" s="82">
        <f t="shared" si="3"/>
        <v>7</v>
      </c>
    </row>
    <row r="27" spans="1:22" x14ac:dyDescent="0.25">
      <c r="A27" s="28" t="s">
        <v>170</v>
      </c>
      <c r="B27" s="28" t="s">
        <v>172</v>
      </c>
      <c r="C27" s="62">
        <v>0</v>
      </c>
      <c r="D27" s="29">
        <v>27</v>
      </c>
      <c r="F27" s="20" t="s">
        <v>240</v>
      </c>
      <c r="G27" s="18"/>
      <c r="H27" s="18"/>
      <c r="I27" s="18"/>
      <c r="J27" s="18"/>
      <c r="K27" s="18"/>
      <c r="L27" s="18"/>
      <c r="M27" s="18"/>
      <c r="N27" s="18"/>
      <c r="R27" s="82">
        <f t="shared" si="2"/>
        <v>3.0000000000000009</v>
      </c>
      <c r="S27" s="82">
        <f t="shared" si="3"/>
        <v>7</v>
      </c>
    </row>
    <row r="28" spans="1:22" x14ac:dyDescent="0.25">
      <c r="A28" s="28" t="s">
        <v>170</v>
      </c>
      <c r="B28" s="28" t="s">
        <v>173</v>
      </c>
      <c r="C28" s="62">
        <v>0</v>
      </c>
      <c r="D28" s="29">
        <v>41</v>
      </c>
      <c r="F28" s="20" t="s">
        <v>241</v>
      </c>
      <c r="G28" s="18"/>
      <c r="H28" s="18"/>
      <c r="I28" s="18"/>
      <c r="J28" s="18"/>
      <c r="K28" s="18"/>
      <c r="L28" s="18"/>
      <c r="M28" s="18"/>
      <c r="N28" s="18"/>
      <c r="R28" s="82">
        <f t="shared" si="2"/>
        <v>2.0000000000000004</v>
      </c>
      <c r="S28" s="82">
        <f t="shared" si="3"/>
        <v>7</v>
      </c>
    </row>
    <row r="29" spans="1:22" x14ac:dyDescent="0.25">
      <c r="A29" s="28" t="s">
        <v>171</v>
      </c>
      <c r="B29" s="28" t="s">
        <v>168</v>
      </c>
      <c r="C29" s="62">
        <v>0</v>
      </c>
      <c r="D29" s="29">
        <v>38</v>
      </c>
      <c r="F29" s="20" t="s">
        <v>242</v>
      </c>
      <c r="G29" s="18"/>
      <c r="H29" s="18"/>
      <c r="I29" s="18"/>
      <c r="J29" s="18"/>
      <c r="K29" s="18"/>
      <c r="L29" s="18"/>
      <c r="M29" s="18"/>
      <c r="N29" s="18"/>
      <c r="R29" s="82">
        <f t="shared" si="2"/>
        <v>1</v>
      </c>
      <c r="S29" s="82">
        <f t="shared" si="3"/>
        <v>7</v>
      </c>
    </row>
    <row r="30" spans="1:22" x14ac:dyDescent="0.25">
      <c r="A30" s="28" t="s">
        <v>171</v>
      </c>
      <c r="B30" s="28" t="s">
        <v>169</v>
      </c>
      <c r="C30" s="62">
        <v>0</v>
      </c>
      <c r="D30" s="29">
        <v>27</v>
      </c>
      <c r="F30" s="20" t="s">
        <v>255</v>
      </c>
      <c r="G30" s="18"/>
      <c r="H30" s="18"/>
      <c r="I30" s="18"/>
      <c r="J30" s="18"/>
      <c r="K30" s="18"/>
      <c r="L30" s="18"/>
      <c r="M30" s="18"/>
      <c r="N30" s="18"/>
      <c r="R30" s="82">
        <f t="shared" si="2"/>
        <v>1</v>
      </c>
      <c r="S30" s="82">
        <f t="shared" si="3"/>
        <v>7</v>
      </c>
    </row>
    <row r="31" spans="1:22" x14ac:dyDescent="0.25">
      <c r="A31" s="28" t="s">
        <v>171</v>
      </c>
      <c r="B31" s="28" t="s">
        <v>170</v>
      </c>
      <c r="C31" s="62">
        <v>0</v>
      </c>
      <c r="D31" s="29">
        <v>33</v>
      </c>
      <c r="F31" s="47"/>
      <c r="R31" s="82">
        <f t="shared" si="2"/>
        <v>-1.0000000000000009</v>
      </c>
      <c r="S31" s="82">
        <f t="shared" si="3"/>
        <v>7</v>
      </c>
    </row>
    <row r="32" spans="1:22" x14ac:dyDescent="0.25">
      <c r="A32" s="28" t="s">
        <v>171</v>
      </c>
      <c r="B32" s="28" t="s">
        <v>172</v>
      </c>
      <c r="C32" s="62">
        <v>0</v>
      </c>
      <c r="D32" s="29">
        <v>12</v>
      </c>
      <c r="F32" s="20" t="s">
        <v>223</v>
      </c>
      <c r="G32" s="20"/>
      <c r="H32" s="20"/>
      <c r="I32" s="20"/>
      <c r="J32" s="20"/>
      <c r="K32" s="20"/>
      <c r="L32" s="20"/>
      <c r="M32" s="20"/>
      <c r="N32" s="20"/>
      <c r="R32" s="82">
        <f t="shared" si="2"/>
        <v>1</v>
      </c>
      <c r="S32" s="82">
        <f t="shared" si="3"/>
        <v>7</v>
      </c>
    </row>
    <row r="33" spans="1:19" x14ac:dyDescent="0.25">
      <c r="A33" s="28" t="s">
        <v>171</v>
      </c>
      <c r="B33" s="28" t="s">
        <v>173</v>
      </c>
      <c r="C33" s="62">
        <v>0</v>
      </c>
      <c r="D33" s="29">
        <v>45</v>
      </c>
      <c r="F33" s="20" t="s">
        <v>243</v>
      </c>
      <c r="G33" s="20"/>
      <c r="H33" s="20"/>
      <c r="I33" s="20"/>
      <c r="J33" s="20"/>
      <c r="K33" s="20"/>
      <c r="L33" s="20"/>
      <c r="M33" s="20"/>
      <c r="N33" s="20"/>
      <c r="R33" s="82">
        <f t="shared" si="2"/>
        <v>0</v>
      </c>
      <c r="S33" s="82">
        <f t="shared" si="3"/>
        <v>7</v>
      </c>
    </row>
    <row r="34" spans="1:19" x14ac:dyDescent="0.25">
      <c r="A34" s="28" t="s">
        <v>172</v>
      </c>
      <c r="B34" s="28" t="s">
        <v>168</v>
      </c>
      <c r="C34" s="62">
        <v>0</v>
      </c>
      <c r="D34" s="29">
        <v>46</v>
      </c>
      <c r="R34" s="82">
        <f t="shared" si="2"/>
        <v>1</v>
      </c>
      <c r="S34" s="82">
        <f t="shared" si="3"/>
        <v>7</v>
      </c>
    </row>
    <row r="35" spans="1:19" x14ac:dyDescent="0.25">
      <c r="A35" s="28" t="s">
        <v>172</v>
      </c>
      <c r="B35" s="28" t="s">
        <v>169</v>
      </c>
      <c r="C35" s="62">
        <v>0</v>
      </c>
      <c r="D35" s="29">
        <v>22</v>
      </c>
      <c r="F35" s="20" t="s">
        <v>224</v>
      </c>
      <c r="G35" s="20"/>
      <c r="H35" s="20"/>
      <c r="I35" s="20"/>
      <c r="J35" s="20"/>
      <c r="K35" s="20"/>
      <c r="L35" s="20"/>
      <c r="M35" s="20"/>
      <c r="N35" s="20"/>
      <c r="R35" s="82">
        <f t="shared" si="2"/>
        <v>1</v>
      </c>
      <c r="S35" s="82">
        <f t="shared" si="3"/>
        <v>7</v>
      </c>
    </row>
    <row r="36" spans="1:19" x14ac:dyDescent="0.25">
      <c r="A36" s="28" t="s">
        <v>172</v>
      </c>
      <c r="B36" s="28" t="s">
        <v>170</v>
      </c>
      <c r="C36" s="62">
        <v>0</v>
      </c>
      <c r="D36" s="29">
        <v>27</v>
      </c>
      <c r="F36" s="20" t="s">
        <v>244</v>
      </c>
      <c r="G36" s="20"/>
      <c r="H36" s="20"/>
      <c r="I36" s="20"/>
      <c r="J36" s="20"/>
      <c r="K36" s="20"/>
      <c r="L36" s="20"/>
      <c r="M36" s="20"/>
      <c r="N36" s="20"/>
      <c r="R36" s="82">
        <f t="shared" si="2"/>
        <v>-1.0000000000000009</v>
      </c>
      <c r="S36" s="82">
        <f t="shared" si="3"/>
        <v>7</v>
      </c>
    </row>
    <row r="37" spans="1:19" x14ac:dyDescent="0.25">
      <c r="A37" s="28" t="s">
        <v>172</v>
      </c>
      <c r="B37" s="28" t="s">
        <v>171</v>
      </c>
      <c r="C37" s="62">
        <v>0</v>
      </c>
      <c r="D37" s="29">
        <v>12</v>
      </c>
      <c r="F37" s="20" t="s">
        <v>245</v>
      </c>
      <c r="G37" s="20"/>
      <c r="H37" s="20"/>
      <c r="I37" s="20"/>
      <c r="J37" s="20"/>
      <c r="K37" s="20"/>
      <c r="L37" s="20"/>
      <c r="M37" s="20"/>
      <c r="N37" s="20"/>
      <c r="R37" s="82">
        <f t="shared" si="2"/>
        <v>1</v>
      </c>
      <c r="S37" s="82">
        <f t="shared" si="3"/>
        <v>7</v>
      </c>
    </row>
    <row r="38" spans="1:19" x14ac:dyDescent="0.25">
      <c r="A38" s="28" t="s">
        <v>172</v>
      </c>
      <c r="B38" s="28" t="s">
        <v>173</v>
      </c>
      <c r="C38" s="62">
        <v>0</v>
      </c>
      <c r="D38" s="29">
        <v>45</v>
      </c>
      <c r="F38" s="20" t="s">
        <v>246</v>
      </c>
      <c r="G38" s="20"/>
      <c r="H38" s="20"/>
      <c r="I38" s="20"/>
      <c r="J38" s="20"/>
      <c r="K38" s="20"/>
      <c r="L38" s="20"/>
      <c r="M38" s="20"/>
      <c r="N38" s="20"/>
      <c r="R38" s="82">
        <f t="shared" si="2"/>
        <v>0</v>
      </c>
      <c r="S38" s="82">
        <f t="shared" si="3"/>
        <v>7</v>
      </c>
    </row>
    <row r="39" spans="1:19" x14ac:dyDescent="0.25">
      <c r="A39" s="28" t="s">
        <v>173</v>
      </c>
      <c r="B39" s="28" t="s">
        <v>168</v>
      </c>
      <c r="C39" s="62">
        <v>0</v>
      </c>
      <c r="D39" s="29">
        <v>32</v>
      </c>
      <c r="F39" s="20" t="s">
        <v>247</v>
      </c>
      <c r="G39" s="20"/>
      <c r="H39" s="20"/>
      <c r="I39" s="20"/>
      <c r="J39" s="20"/>
      <c r="K39" s="20"/>
      <c r="L39" s="20"/>
      <c r="M39" s="20"/>
      <c r="N39" s="20"/>
      <c r="R39" s="82">
        <f t="shared" si="2"/>
        <v>2.0000000000000004</v>
      </c>
      <c r="S39" s="82">
        <f t="shared" si="3"/>
        <v>7</v>
      </c>
    </row>
    <row r="40" spans="1:19" x14ac:dyDescent="0.25">
      <c r="A40" s="28" t="s">
        <v>173</v>
      </c>
      <c r="B40" s="28" t="s">
        <v>169</v>
      </c>
      <c r="C40" s="62">
        <v>0</v>
      </c>
      <c r="D40" s="29">
        <v>43</v>
      </c>
      <c r="F40" s="20" t="s">
        <v>225</v>
      </c>
      <c r="G40" s="20"/>
      <c r="H40" s="20"/>
      <c r="I40" s="20"/>
      <c r="J40" s="20"/>
      <c r="K40" s="20"/>
      <c r="L40" s="20"/>
      <c r="M40" s="20"/>
      <c r="N40" s="20"/>
      <c r="R40" s="82">
        <f t="shared" si="2"/>
        <v>2.0000000000000004</v>
      </c>
      <c r="S40" s="82">
        <f t="shared" si="3"/>
        <v>7</v>
      </c>
    </row>
    <row r="41" spans="1:19" x14ac:dyDescent="0.25">
      <c r="A41" s="28" t="s">
        <v>173</v>
      </c>
      <c r="B41" s="28" t="s">
        <v>170</v>
      </c>
      <c r="C41" s="62">
        <v>1</v>
      </c>
      <c r="D41" s="29">
        <v>41</v>
      </c>
      <c r="R41" s="82">
        <f t="shared" si="2"/>
        <v>0</v>
      </c>
      <c r="S41" s="82">
        <f t="shared" si="3"/>
        <v>0</v>
      </c>
    </row>
    <row r="42" spans="1:19" x14ac:dyDescent="0.25">
      <c r="A42" s="28" t="s">
        <v>173</v>
      </c>
      <c r="B42" s="28" t="s">
        <v>171</v>
      </c>
      <c r="C42" s="62">
        <v>0</v>
      </c>
      <c r="D42" s="29">
        <v>45</v>
      </c>
      <c r="F42" s="94" t="s">
        <v>271</v>
      </c>
      <c r="R42" s="82">
        <f t="shared" si="2"/>
        <v>2.0000000000000004</v>
      </c>
      <c r="S42" s="82">
        <f t="shared" si="3"/>
        <v>7</v>
      </c>
    </row>
    <row r="43" spans="1:19" x14ac:dyDescent="0.25">
      <c r="A43" s="28" t="s">
        <v>173</v>
      </c>
      <c r="B43" s="28" t="s">
        <v>172</v>
      </c>
      <c r="C43" s="62">
        <v>0</v>
      </c>
      <c r="D43" s="29">
        <v>45</v>
      </c>
      <c r="R43" s="82">
        <f t="shared" si="2"/>
        <v>2.0000000000000004</v>
      </c>
      <c r="S43" s="82">
        <f t="shared" si="3"/>
        <v>7</v>
      </c>
    </row>
    <row r="44" spans="1:19" x14ac:dyDescent="0.25">
      <c r="A44" s="28" t="s">
        <v>168</v>
      </c>
      <c r="B44" s="28" t="s">
        <v>239</v>
      </c>
      <c r="C44" s="62">
        <v>0</v>
      </c>
      <c r="D44" s="29">
        <v>30</v>
      </c>
      <c r="R44" s="82">
        <f t="shared" si="2"/>
        <v>1</v>
      </c>
      <c r="S44" s="82">
        <f t="shared" si="3"/>
        <v>7</v>
      </c>
    </row>
    <row r="45" spans="1:19" x14ac:dyDescent="0.25">
      <c r="A45" s="28" t="s">
        <v>169</v>
      </c>
      <c r="B45" s="28" t="s">
        <v>239</v>
      </c>
      <c r="C45" s="62">
        <v>0</v>
      </c>
      <c r="D45" s="29">
        <v>30</v>
      </c>
      <c r="R45" s="82">
        <f t="shared" si="2"/>
        <v>1</v>
      </c>
      <c r="S45" s="82">
        <f t="shared" si="3"/>
        <v>7</v>
      </c>
    </row>
    <row r="46" spans="1:19" x14ac:dyDescent="0.25">
      <c r="A46" s="28" t="s">
        <v>170</v>
      </c>
      <c r="B46" s="28" t="s">
        <v>239</v>
      </c>
      <c r="C46" s="62">
        <v>0</v>
      </c>
      <c r="D46" s="29">
        <v>30</v>
      </c>
      <c r="R46" s="82">
        <f t="shared" si="2"/>
        <v>3.0000000000000009</v>
      </c>
      <c r="S46" s="82">
        <f t="shared" si="3"/>
        <v>7</v>
      </c>
    </row>
    <row r="47" spans="1:19" x14ac:dyDescent="0.25">
      <c r="A47" s="28" t="s">
        <v>171</v>
      </c>
      <c r="B47" s="28" t="s">
        <v>239</v>
      </c>
      <c r="C47" s="62">
        <v>0</v>
      </c>
      <c r="D47" s="29">
        <v>30</v>
      </c>
      <c r="R47" s="82">
        <f t="shared" si="2"/>
        <v>1</v>
      </c>
      <c r="S47" s="82">
        <f t="shared" si="3"/>
        <v>7</v>
      </c>
    </row>
    <row r="48" spans="1:19" x14ac:dyDescent="0.25">
      <c r="A48" s="28" t="s">
        <v>172</v>
      </c>
      <c r="B48" s="28" t="s">
        <v>239</v>
      </c>
      <c r="C48" s="62">
        <v>0</v>
      </c>
      <c r="D48" s="29">
        <v>30</v>
      </c>
      <c r="R48" s="82">
        <f t="shared" si="2"/>
        <v>1</v>
      </c>
      <c r="S48" s="82">
        <f t="shared" si="3"/>
        <v>7</v>
      </c>
    </row>
    <row r="49" spans="1:19" x14ac:dyDescent="0.25">
      <c r="A49" s="28" t="s">
        <v>173</v>
      </c>
      <c r="B49" s="28" t="s">
        <v>239</v>
      </c>
      <c r="C49" s="62">
        <v>0</v>
      </c>
      <c r="D49" s="29">
        <v>30</v>
      </c>
      <c r="R49" s="82">
        <f t="shared" si="2"/>
        <v>2.0000000000000004</v>
      </c>
      <c r="S49" s="82">
        <f t="shared" si="3"/>
        <v>7</v>
      </c>
    </row>
    <row r="50" spans="1:19" x14ac:dyDescent="0.25">
      <c r="A50" s="28" t="s">
        <v>238</v>
      </c>
      <c r="B50" s="28" t="s">
        <v>168</v>
      </c>
      <c r="C50" s="62">
        <v>0</v>
      </c>
      <c r="D50" s="29">
        <v>30</v>
      </c>
      <c r="R50" s="82">
        <f t="shared" si="2"/>
        <v>1</v>
      </c>
      <c r="S50" s="82">
        <f t="shared" si="3"/>
        <v>7</v>
      </c>
    </row>
    <row r="51" spans="1:19" x14ac:dyDescent="0.25">
      <c r="A51" s="28" t="s">
        <v>238</v>
      </c>
      <c r="B51" s="28" t="s">
        <v>169</v>
      </c>
      <c r="C51" s="62">
        <v>0</v>
      </c>
      <c r="D51" s="29">
        <v>30</v>
      </c>
      <c r="R51" s="82">
        <f t="shared" si="2"/>
        <v>1</v>
      </c>
      <c r="S51" s="82">
        <f t="shared" si="3"/>
        <v>7</v>
      </c>
    </row>
    <row r="52" spans="1:19" x14ac:dyDescent="0.25">
      <c r="A52" s="28" t="s">
        <v>238</v>
      </c>
      <c r="B52" s="28" t="s">
        <v>170</v>
      </c>
      <c r="C52" s="62">
        <v>0</v>
      </c>
      <c r="D52" s="29">
        <v>30</v>
      </c>
      <c r="R52" s="82">
        <f t="shared" si="2"/>
        <v>-1.0000000000000009</v>
      </c>
      <c r="S52" s="82">
        <f t="shared" si="3"/>
        <v>7</v>
      </c>
    </row>
    <row r="53" spans="1:19" x14ac:dyDescent="0.25">
      <c r="A53" s="28" t="s">
        <v>238</v>
      </c>
      <c r="B53" s="28" t="s">
        <v>171</v>
      </c>
      <c r="C53" s="62">
        <v>0</v>
      </c>
      <c r="D53" s="29">
        <v>30</v>
      </c>
      <c r="R53" s="82">
        <f t="shared" si="2"/>
        <v>1</v>
      </c>
      <c r="S53" s="82">
        <f t="shared" si="3"/>
        <v>7</v>
      </c>
    </row>
    <row r="54" spans="1:19" x14ac:dyDescent="0.25">
      <c r="A54" s="28" t="s">
        <v>238</v>
      </c>
      <c r="B54" s="28" t="s">
        <v>172</v>
      </c>
      <c r="C54" s="62">
        <v>0</v>
      </c>
      <c r="D54" s="29">
        <v>30</v>
      </c>
      <c r="R54" s="82">
        <f t="shared" si="2"/>
        <v>1</v>
      </c>
      <c r="S54" s="82">
        <f t="shared" si="3"/>
        <v>7</v>
      </c>
    </row>
    <row r="55" spans="1:19" x14ac:dyDescent="0.25">
      <c r="A55" s="28" t="s">
        <v>238</v>
      </c>
      <c r="B55" s="28" t="s">
        <v>173</v>
      </c>
      <c r="C55" s="62">
        <v>0</v>
      </c>
      <c r="D55" s="29">
        <v>30</v>
      </c>
      <c r="R55" s="82">
        <f t="shared" si="2"/>
        <v>0</v>
      </c>
      <c r="S55" s="82">
        <f t="shared" si="3"/>
        <v>7</v>
      </c>
    </row>
  </sheetData>
  <conditionalFormatting sqref="A14:D14">
    <cfRule type="expression" dxfId="1" priority="2">
      <formula>$C14=1</formula>
    </cfRule>
  </conditionalFormatting>
  <conditionalFormatting sqref="A15:D55">
    <cfRule type="expression" dxfId="0" priority="1">
      <formula>$C15=1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99</vt:i4>
      </vt:variant>
    </vt:vector>
  </HeadingPairs>
  <TitlesOfParts>
    <vt:vector size="107" baseType="lpstr">
      <vt:lpstr>Documentation</vt:lpstr>
      <vt:lpstr>P13</vt:lpstr>
      <vt:lpstr>P14</vt:lpstr>
      <vt:lpstr>P15-1</vt:lpstr>
      <vt:lpstr>P15-2</vt:lpstr>
      <vt:lpstr>P16-1</vt:lpstr>
      <vt:lpstr>P16-2</vt:lpstr>
      <vt:lpstr>P16-3</vt:lpstr>
      <vt:lpstr>Actual_Sales</vt:lpstr>
      <vt:lpstr>Alexandria</vt:lpstr>
      <vt:lpstr>Allocation</vt:lpstr>
      <vt:lpstr>Available_Funds</vt:lpstr>
      <vt:lpstr>Available_Supply</vt:lpstr>
      <vt:lpstr>Bburg</vt:lpstr>
      <vt:lpstr>Cburg</vt:lpstr>
      <vt:lpstr>cFish</vt:lpstr>
      <vt:lpstr>Cities</vt:lpstr>
      <vt:lpstr>cSteak</vt:lpstr>
      <vt:lpstr>cTable</vt:lpstr>
      <vt:lpstr>Current_Inventory</vt:lpstr>
      <vt:lpstr>DayOne</vt:lpstr>
      <vt:lpstr>DayTwo</vt:lpstr>
      <vt:lpstr>Delivered</vt:lpstr>
      <vt:lpstr>Demand</vt:lpstr>
      <vt:lpstr>Driver_Cost_Stop</vt:lpstr>
      <vt:lpstr>Expected_Demand</vt:lpstr>
      <vt:lpstr>Expected_Profit</vt:lpstr>
      <vt:lpstr>Expected_Returns</vt:lpstr>
      <vt:lpstr>Expected_Risk</vt:lpstr>
      <vt:lpstr>From</vt:lpstr>
      <vt:lpstr>HistOut</vt:lpstr>
      <vt:lpstr>Holding_Cost</vt:lpstr>
      <vt:lpstr>Investment</vt:lpstr>
      <vt:lpstr>Lost_Sales</vt:lpstr>
      <vt:lpstr>Lost_Sales_Cost</vt:lpstr>
      <vt:lpstr>Max_Cost</vt:lpstr>
      <vt:lpstr>Max_Time</vt:lpstr>
      <vt:lpstr>Mid_Points</vt:lpstr>
      <vt:lpstr>MinReport</vt:lpstr>
      <vt:lpstr>MinThis</vt:lpstr>
      <vt:lpstr>nGuests</vt:lpstr>
      <vt:lpstr>Node_From_To</vt:lpstr>
      <vt:lpstr>Node_To</vt:lpstr>
      <vt:lpstr>Nodes</vt:lpstr>
      <vt:lpstr>nTables</vt:lpstr>
      <vt:lpstr>Number_Stops</vt:lpstr>
      <vt:lpstr>ObjConst</vt:lpstr>
      <vt:lpstr>ObjFunc</vt:lpstr>
      <vt:lpstr>Order_Cost</vt:lpstr>
      <vt:lpstr>Order_Quantity</vt:lpstr>
      <vt:lpstr>Path_Cost</vt:lpstr>
      <vt:lpstr>pFish</vt:lpstr>
      <vt:lpstr>Plane</vt:lpstr>
      <vt:lpstr>PriceInterval</vt:lpstr>
      <vt:lpstr>Product</vt:lpstr>
      <vt:lpstr>pSteak</vt:lpstr>
      <vt:lpstr>Remaining_Inventory</vt:lpstr>
      <vt:lpstr>Return_Rate</vt:lpstr>
      <vt:lpstr>Risk_Rate</vt:lpstr>
      <vt:lpstr>Roanoke</vt:lpstr>
      <vt:lpstr>Route</vt:lpstr>
      <vt:lpstr>Route_Order__y</vt:lpstr>
      <vt:lpstr>Salem</vt:lpstr>
      <vt:lpstr>Sales_Price</vt:lpstr>
      <vt:lpstr>Selected</vt:lpstr>
      <vt:lpstr>ShipCost</vt:lpstr>
      <vt:lpstr>ShipDV</vt:lpstr>
      <vt:lpstr>SimReport</vt:lpstr>
      <vt:lpstr>Start_End</vt:lpstr>
      <vt:lpstr>StatusBar</vt:lpstr>
      <vt:lpstr>Time_Stop</vt:lpstr>
      <vt:lpstr>TixPrice</vt:lpstr>
      <vt:lpstr>To</vt:lpstr>
      <vt:lpstr>Total_Cost</vt:lpstr>
      <vt:lpstr>Total_Costs</vt:lpstr>
      <vt:lpstr>Total_Demand</vt:lpstr>
      <vt:lpstr>Total_From_WH</vt:lpstr>
      <vt:lpstr>Total_Holding</vt:lpstr>
      <vt:lpstr>Total_Load</vt:lpstr>
      <vt:lpstr>Total_Lost_Sales</vt:lpstr>
      <vt:lpstr>Total_Order</vt:lpstr>
      <vt:lpstr>Total_Overall_Cost</vt:lpstr>
      <vt:lpstr>Total_Path_Cost</vt:lpstr>
      <vt:lpstr>Total_Profit</vt:lpstr>
      <vt:lpstr>Total_Revenue</vt:lpstr>
      <vt:lpstr>Total_Ship_Cost</vt:lpstr>
      <vt:lpstr>Total_Shipped</vt:lpstr>
      <vt:lpstr>Total_To_City</vt:lpstr>
      <vt:lpstr>Total_Travel_Cost</vt:lpstr>
      <vt:lpstr>Total_Travel_Time</vt:lpstr>
      <vt:lpstr>Total_Unmet_Penalty</vt:lpstr>
      <vt:lpstr>TotalCost</vt:lpstr>
      <vt:lpstr>Train</vt:lpstr>
      <vt:lpstr>TravelDV</vt:lpstr>
      <vt:lpstr>TrialStart</vt:lpstr>
      <vt:lpstr>Truck</vt:lpstr>
      <vt:lpstr>Truck_1</vt:lpstr>
      <vt:lpstr>Truck_2</vt:lpstr>
      <vt:lpstr>Truck_3</vt:lpstr>
      <vt:lpstr>Unit_Cost</vt:lpstr>
      <vt:lpstr>Unit_Shipping_Cost</vt:lpstr>
      <vt:lpstr>Unmet_Demand</vt:lpstr>
      <vt:lpstr>Unmet_Penalty</vt:lpstr>
      <vt:lpstr>Updated_Inventory</vt:lpstr>
      <vt:lpstr>Vienna</vt:lpstr>
      <vt:lpstr>WH_1</vt:lpstr>
      <vt:lpstr>WH_2</vt:lpstr>
    </vt:vector>
  </TitlesOfParts>
  <Company>Pamplin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Michelle Seref</dc:creator>
  <cp:lastModifiedBy>Zain Qadri</cp:lastModifiedBy>
  <dcterms:created xsi:type="dcterms:W3CDTF">2019-07-27T22:25:01Z</dcterms:created>
  <dcterms:modified xsi:type="dcterms:W3CDTF">2023-04-17T17:49:55Z</dcterms:modified>
</cp:coreProperties>
</file>